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1.vml" ContentType="application/vnd.openxmlformats-officedocument.vmlDrawing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1_SMR_42pairs" sheetId="1" state="visible" r:id="rId2"/>
    <sheet name="S2_scDRS_132tests" sheetId="2" state="visible" r:id="rId3"/>
    <sheet name="S3_forwardMR_54" sheetId="3" state="visible" r:id="rId4"/>
    <sheet name="S4_reverseMR" sheetId="4" state="visible" r:id="rId5"/>
    <sheet name="S5_coloc" sheetId="5" state="visible" r:id="rId6"/>
    <sheet name="S6a_Visium_correlations" sheetId="6" state="visible" r:id="rId7"/>
    <sheet name="S6b_Visium_DE" sheetId="7" state="visible" r:id="rId8"/>
    <sheet name="S6c_Visium_section_sensitivity" sheetId="8" state="visible" r:id="rId9"/>
  </sheets>
  <definedNames>
    <definedName function="false" hidden="true" localSheetId="0" name="_xlnm._FilterDatabase" vbProcedure="false">S1_SMR_42pairs!$A$1:$I$43</definedName>
    <definedName function="false" hidden="true" localSheetId="1" name="_xlnm._FilterDatabase" vbProcedure="false">S2_scDRS_132tests!$A$1:$H$133</definedName>
    <definedName function="false" hidden="true" localSheetId="2" name="_xlnm._FilterDatabase" vbProcedure="false">S3_forwardMR_54!$A$1:$AD$55</definedName>
    <definedName function="false" hidden="true" localSheetId="3" name="_xlnm._FilterDatabase" vbProcedure="false">S4_reverseMR!$A$1:$AA$10</definedName>
    <definedName function="false" hidden="true" localSheetId="4" name="_xlnm._FilterDatabase" vbProcedure="false">S5_coloc!$A$1:$I$401</definedName>
    <definedName function="false" hidden="true" localSheetId="5" name="_xlnm._FilterDatabase" vbProcedure="false">S6a_Visium_correlations!$A$1:$H$31</definedName>
    <definedName function="false" hidden="true" localSheetId="6" name="_xlnm._FilterDatabase" vbProcedure="false">S6b_Visium_DE!$A$1:$F$14</definedName>
    <definedName function="false" hidden="true" localSheetId="7" name="_xlnm._FilterDatabase" vbProcedure="false">S6c_Visium_section_sensitivity!$A$1:$I$66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Unweighted arithmetic mean of the two control-section means for the same gene.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-21</xdr:colOff>
                <xdr:row>4</xdr:row>
                <xdr:rowOff>3</xdr:rowOff>
              </xdr:to>
            </anchor>
          </commentPr>
        </mc:Choice>
        <mc:Fallback/>
      </mc:AlternateConten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log2(section mean/control mean). Blank when either mean is zero. Descriptive section consistency only; no independent donor replication.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-21</xdr:colOff>
                <xdr:row>6</xdr:row>
                <xdr:rowOff>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<sst xmlns="http://schemas.openxmlformats.org/spreadsheetml/2006/main" count="2424" uniqueCount="497">
  <si>
    <t xml:space="preserve">disease</t>
  </si>
  <si>
    <t xml:space="preserve">Gene</t>
  </si>
  <si>
    <t xml:space="preserve">symbol</t>
  </si>
  <si>
    <t xml:space="preserve">topSNP</t>
  </si>
  <si>
    <t xml:space="preserve">b_SMR</t>
  </si>
  <si>
    <t xml:space="preserve">se_SMR</t>
  </si>
  <si>
    <t xml:space="preserve">p_SMR</t>
  </si>
  <si>
    <t xml:space="preserve">p_HEIDI</t>
  </si>
  <si>
    <t xml:space="preserve">nsnp_HEIDI</t>
  </si>
  <si>
    <t xml:space="preserve">iamdgc_lateamd</t>
  </si>
  <si>
    <t xml:space="preserve">ENSG00000223534</t>
  </si>
  <si>
    <t xml:space="preserve">HLA-DQB1-AS1</t>
  </si>
  <si>
    <t xml:space="preserve">rs1049225</t>
  </si>
  <si>
    <t xml:space="preserve">winkler_earlyamd</t>
  </si>
  <si>
    <t xml:space="preserve">ENSG00000204356</t>
  </si>
  <si>
    <t xml:space="preserve">NELFE</t>
  </si>
  <si>
    <t xml:space="preserve">rs541862</t>
  </si>
  <si>
    <t xml:space="preserve">finngen_WET_AMD</t>
  </si>
  <si>
    <t xml:space="preserve">ENSG00000258311</t>
  </si>
  <si>
    <t xml:space="preserve">rs3138141</t>
  </si>
  <si>
    <t xml:space="preserve">ENSG00000107669</t>
  </si>
  <si>
    <t xml:space="preserve">ATE1</t>
  </si>
  <si>
    <t xml:space="preserve">rs17102809</t>
  </si>
  <si>
    <t xml:space="preserve">ENSG00000135437</t>
  </si>
  <si>
    <t xml:space="preserve">RDH5</t>
  </si>
  <si>
    <t xml:space="preserve">rs56108400</t>
  </si>
  <si>
    <t xml:space="preserve">ENSG00000078487</t>
  </si>
  <si>
    <t xml:space="preserve">ZCWPW1</t>
  </si>
  <si>
    <t xml:space="preserve">rs35111986</t>
  </si>
  <si>
    <t xml:space="preserve">ENSG00000121716</t>
  </si>
  <si>
    <t xml:space="preserve">PILRB</t>
  </si>
  <si>
    <t xml:space="preserve">rs6955367</t>
  </si>
  <si>
    <t xml:space="preserve">ENSG00000146834</t>
  </si>
  <si>
    <t xml:space="preserve">MEPCE</t>
  </si>
  <si>
    <t xml:space="preserve">rs67471932</t>
  </si>
  <si>
    <t xml:space="preserve">ENSG00000066923</t>
  </si>
  <si>
    <t xml:space="preserve">STAG3</t>
  </si>
  <si>
    <t xml:space="preserve">rs7786505</t>
  </si>
  <si>
    <t xml:space="preserve">ENSG00000177888</t>
  </si>
  <si>
    <t xml:space="preserve">ZBTB41</t>
  </si>
  <si>
    <t xml:space="preserve">rs6671696</t>
  </si>
  <si>
    <t xml:space="preserve">ENSG00000246582</t>
  </si>
  <si>
    <t xml:space="preserve">TNFRSF10A-DT</t>
  </si>
  <si>
    <t xml:space="preserve">rs13254617</t>
  </si>
  <si>
    <t xml:space="preserve">ENSG00000078319</t>
  </si>
  <si>
    <t xml:space="preserve">PMS2P1</t>
  </si>
  <si>
    <t xml:space="preserve">rs6979910</t>
  </si>
  <si>
    <t xml:space="preserve">finngen_DM_MACULOPATHY</t>
  </si>
  <si>
    <t xml:space="preserve">ENSG00000204371</t>
  </si>
  <si>
    <t xml:space="preserve">EHMT2</t>
  </si>
  <si>
    <t xml:space="preserve">rs3020644</t>
  </si>
  <si>
    <t xml:space="preserve">finngen_DRY_AMD</t>
  </si>
  <si>
    <t xml:space="preserve">ENSG00000168477</t>
  </si>
  <si>
    <t xml:space="preserve">TNXB</t>
  </si>
  <si>
    <t xml:space="preserve">rs2269426</t>
  </si>
  <si>
    <t xml:space="preserve">ENSG00000160813</t>
  </si>
  <si>
    <t xml:space="preserve">PPP1R35</t>
  </si>
  <si>
    <t xml:space="preserve">rs11766752</t>
  </si>
  <si>
    <t xml:space="preserve">ENSG00000204427</t>
  </si>
  <si>
    <t xml:space="preserve">ABHD16A</t>
  </si>
  <si>
    <t xml:space="preserve">rs150043706</t>
  </si>
  <si>
    <t xml:space="preserve">ENSG00000204421</t>
  </si>
  <si>
    <t xml:space="preserve">LY6G6C</t>
  </si>
  <si>
    <t xml:space="preserve">rs3117572</t>
  </si>
  <si>
    <t xml:space="preserve">ENSG00000139531</t>
  </si>
  <si>
    <t xml:space="preserve">SUOX</t>
  </si>
  <si>
    <t xml:space="preserve">rs1873914</t>
  </si>
  <si>
    <t xml:space="preserve">ENSG00000095574</t>
  </si>
  <si>
    <t xml:space="preserve">IKZF5</t>
  </si>
  <si>
    <t xml:space="preserve">rs41291346</t>
  </si>
  <si>
    <t xml:space="preserve">ENSG00000166997</t>
  </si>
  <si>
    <t xml:space="preserve">CNPY4</t>
  </si>
  <si>
    <t xml:space="preserve">rs77686669</t>
  </si>
  <si>
    <t xml:space="preserve">finngen_H7_RETIVASCOCCLUSION</t>
  </si>
  <si>
    <t xml:space="preserve">ENSG00000100311</t>
  </si>
  <si>
    <t xml:space="preserve">PDGFB</t>
  </si>
  <si>
    <t xml:space="preserve">rs5757573</t>
  </si>
  <si>
    <t xml:space="preserve">ENSG00000065361</t>
  </si>
  <si>
    <t xml:space="preserve">ERBB3</t>
  </si>
  <si>
    <t xml:space="preserve">rs11171739</t>
  </si>
  <si>
    <t xml:space="preserve">ENSG00000135414</t>
  </si>
  <si>
    <t xml:space="preserve">GDF11</t>
  </si>
  <si>
    <t xml:space="preserve">rs7302200</t>
  </si>
  <si>
    <t xml:space="preserve">ENSG00000166033</t>
  </si>
  <si>
    <t xml:space="preserve">HTRA1</t>
  </si>
  <si>
    <t xml:space="preserve">rs3019484</t>
  </si>
  <si>
    <t xml:space="preserve">ENSG00000242294</t>
  </si>
  <si>
    <t xml:space="preserve">STAG3L5P</t>
  </si>
  <si>
    <t xml:space="preserve">rs7799894</t>
  </si>
  <si>
    <t xml:space="preserve">ENSG00000104879</t>
  </si>
  <si>
    <t xml:space="preserve">CKM</t>
  </si>
  <si>
    <t xml:space="preserve">rs386569</t>
  </si>
  <si>
    <t xml:space="preserve">ENSG00000104689</t>
  </si>
  <si>
    <t xml:space="preserve">TNFRSF10A</t>
  </si>
  <si>
    <t xml:space="preserve">rs73224403</t>
  </si>
  <si>
    <t xml:space="preserve">trait</t>
  </si>
  <si>
    <t xml:space="preserve">cell_type</t>
  </si>
  <si>
    <t xml:space="preserve">n_cell</t>
  </si>
  <si>
    <t xml:space="preserve">assoc_mcp</t>
  </si>
  <si>
    <t xml:space="preserve">assoc_mcz</t>
  </si>
  <si>
    <t xml:space="preserve">hetero_mcp</t>
  </si>
  <si>
    <t xml:space="preserve">annot</t>
  </si>
  <si>
    <t xml:space="preserve">assoc_fdr</t>
  </si>
  <si>
    <t xml:space="preserve">NN</t>
  </si>
  <si>
    <t xml:space="preserve">author_cell_type</t>
  </si>
  <si>
    <t xml:space="preserve">glial cell</t>
  </si>
  <si>
    <t xml:space="preserve">HC</t>
  </si>
  <si>
    <t xml:space="preserve">retina horizontal cell</t>
  </si>
  <si>
    <t xml:space="preserve">AC</t>
  </si>
  <si>
    <t xml:space="preserve">amacrine cell</t>
  </si>
  <si>
    <t xml:space="preserve">BC</t>
  </si>
  <si>
    <t xml:space="preserve">retinal bipolar neuron</t>
  </si>
  <si>
    <t xml:space="preserve">Rod</t>
  </si>
  <si>
    <t xml:space="preserve">retinal rod cell</t>
  </si>
  <si>
    <t xml:space="preserve">Cone</t>
  </si>
  <si>
    <t xml:space="preserve">retinal cone cell</t>
  </si>
  <si>
    <t xml:space="preserve">zekavat_CSI</t>
  </si>
  <si>
    <t xml:space="preserve">zekavat_GCC</t>
  </si>
  <si>
    <t xml:space="preserve">zekavat_GCL</t>
  </si>
  <si>
    <t xml:space="preserve">zekavat_INL</t>
  </si>
  <si>
    <t xml:space="preserve">zekavat_IPL</t>
  </si>
  <si>
    <t xml:space="preserve">zekavat_OPL</t>
  </si>
  <si>
    <t xml:space="preserve">zekavat_PS</t>
  </si>
  <si>
    <t xml:space="preserve">zekavat_RNFL</t>
  </si>
  <si>
    <t xml:space="preserve">zekavat_RPE</t>
  </si>
  <si>
    <t xml:space="preserve">layer</t>
  </si>
  <si>
    <t xml:space="preserve">outcome</t>
  </si>
  <si>
    <t xml:space="preserve">nsnp</t>
  </si>
  <si>
    <t xml:space="preserve">IVW_beta</t>
  </si>
  <si>
    <t xml:space="preserve">IVW_se</t>
  </si>
  <si>
    <t xml:space="preserve">IVW_p</t>
  </si>
  <si>
    <t xml:space="preserve">IVW_Q</t>
  </si>
  <si>
    <t xml:space="preserve">IVW_Q_p</t>
  </si>
  <si>
    <t xml:space="preserve">MR-Egger_beta</t>
  </si>
  <si>
    <t xml:space="preserve">MR-Egger_se</t>
  </si>
  <si>
    <t xml:space="preserve">MR-Egger_p</t>
  </si>
  <si>
    <t xml:space="preserve">Egger_intercept</t>
  </si>
  <si>
    <t xml:space="preserve">Egger_intercept_p</t>
  </si>
  <si>
    <t xml:space="preserve">Weighted median_beta</t>
  </si>
  <si>
    <t xml:space="preserve">Weighted median_se</t>
  </si>
  <si>
    <t xml:space="preserve">Weighted median_p</t>
  </si>
  <si>
    <t xml:space="preserve">Simple mode_beta</t>
  </si>
  <si>
    <t xml:space="preserve">Simple mode_se</t>
  </si>
  <si>
    <t xml:space="preserve">Simple mode_p</t>
  </si>
  <si>
    <t xml:space="preserve">Weighted mode_beta</t>
  </si>
  <si>
    <t xml:space="preserve">Weighted mode_se</t>
  </si>
  <si>
    <t xml:space="preserve">Weighted mode_p</t>
  </si>
  <si>
    <t xml:space="preserve">PRESSO_global_p</t>
  </si>
  <si>
    <t xml:space="preserve">PRESSO_n_outliers</t>
  </si>
  <si>
    <t xml:space="preserve">Steiger_correct</t>
  </si>
  <si>
    <t xml:space="preserve">Steiger_p</t>
  </si>
  <si>
    <t xml:space="preserve">R2x</t>
  </si>
  <si>
    <t xml:space="preserve">R2y</t>
  </si>
  <si>
    <t xml:space="preserve">F_mean</t>
  </si>
  <si>
    <t xml:space="preserve">fdr_bh</t>
  </si>
  <si>
    <t xml:space="preserve">CSI</t>
  </si>
  <si>
    <t xml:space="preserve">GCC</t>
  </si>
  <si>
    <t xml:space="preserve">GCL</t>
  </si>
  <si>
    <t xml:space="preserve">INL</t>
  </si>
  <si>
    <t xml:space="preserve">IPL</t>
  </si>
  <si>
    <t xml:space="preserve">OPL</t>
  </si>
  <si>
    <t xml:space="preserve">PS</t>
  </si>
  <si>
    <t xml:space="preserve">RNFL</t>
  </si>
  <si>
    <t xml:space="preserve">RPE</t>
  </si>
  <si>
    <t xml:space="preserve">PP_H0</t>
  </si>
  <si>
    <t xml:space="preserve">PP_H1</t>
  </si>
  <si>
    <t xml:space="preserve">PP_H2</t>
  </si>
  <si>
    <t xml:space="preserve">PP_H3</t>
  </si>
  <si>
    <t xml:space="preserve">PP_H4</t>
  </si>
  <si>
    <t xml:space="preserve">nsnps</t>
  </si>
  <si>
    <t xml:space="preserve">region</t>
  </si>
  <si>
    <t xml:space="preserve">14:69898728-70898728</t>
  </si>
  <si>
    <t xml:space="preserve">15:27892261-28892261</t>
  </si>
  <si>
    <t xml:space="preserve">15:78868982-79868982</t>
  </si>
  <si>
    <t xml:space="preserve">1:60835153-61835153</t>
  </si>
  <si>
    <t xml:space="preserve">1:196170757-197170757</t>
  </si>
  <si>
    <t xml:space="preserve">1:207480901-208480901</t>
  </si>
  <si>
    <t xml:space="preserve">22:39146201-40146201</t>
  </si>
  <si>
    <t xml:space="preserve">2:-201731-798269</t>
  </si>
  <si>
    <t xml:space="preserve">3:24911118-25911118</t>
  </si>
  <si>
    <t xml:space="preserve">4:81900811-82900811</t>
  </si>
  <si>
    <t xml:space="preserve">4:145411237-146411237</t>
  </si>
  <si>
    <t xml:space="preserve">5:157509230-158509230</t>
  </si>
  <si>
    <t xml:space="preserve">6:21582263-22582263</t>
  </si>
  <si>
    <t xml:space="preserve">6:31410938-32410938</t>
  </si>
  <si>
    <t xml:space="preserve">6:43326627-44326627</t>
  </si>
  <si>
    <t xml:space="preserve">8:8692297-9692297</t>
  </si>
  <si>
    <t xml:space="preserve">8:22582971-23582971</t>
  </si>
  <si>
    <t xml:space="preserve">8:108117455-109117455</t>
  </si>
  <si>
    <t xml:space="preserve">9:78618903-79618903</t>
  </si>
  <si>
    <t xml:space="preserve">19:6216279-7216279</t>
  </si>
  <si>
    <t xml:space="preserve">16:56490716-57490716</t>
  </si>
  <si>
    <t xml:space="preserve">10:123715421-124715421</t>
  </si>
  <si>
    <t xml:space="preserve">10:69509388-70509388</t>
  </si>
  <si>
    <t xml:space="preserve">11:16502985-17502985</t>
  </si>
  <si>
    <t xml:space="preserve">11:88411696-89411696</t>
  </si>
  <si>
    <t xml:space="preserve">12:480925-1480925</t>
  </si>
  <si>
    <t xml:space="preserve">14:60525617-61525617</t>
  </si>
  <si>
    <t xml:space="preserve">14:74166641-75166641</t>
  </si>
  <si>
    <t xml:space="preserve">15:27730318-28730318</t>
  </si>
  <si>
    <t xml:space="preserve">15:88613441-89613441</t>
  </si>
  <si>
    <t xml:space="preserve">16:13894844-14894844</t>
  </si>
  <si>
    <t xml:space="preserve">17:17348602-18348602</t>
  </si>
  <si>
    <t xml:space="preserve">17:79111326-80111326</t>
  </si>
  <si>
    <t xml:space="preserve">19:39810084-40810084</t>
  </si>
  <si>
    <t xml:space="preserve">1:182884395-183884395</t>
  </si>
  <si>
    <t xml:space="preserve">1:198443015-199443015</t>
  </si>
  <si>
    <t xml:space="preserve">1:202312654-203312654</t>
  </si>
  <si>
    <t xml:space="preserve">21:46860641-47860641</t>
  </si>
  <si>
    <t xml:space="preserve">2:48311149-49311149</t>
  </si>
  <si>
    <t xml:space="preserve">2:172404520-173404520</t>
  </si>
  <si>
    <t xml:space="preserve">3:45312514-46312514</t>
  </si>
  <si>
    <t xml:space="preserve">3:69067494-70067494</t>
  </si>
  <si>
    <t xml:space="preserve">3:76692591-77692591</t>
  </si>
  <si>
    <t xml:space="preserve">4:184432935-185432935</t>
  </si>
  <si>
    <t xml:space="preserve">5:2112747-3112747</t>
  </si>
  <si>
    <t xml:space="preserve">5:87300568-88300568</t>
  </si>
  <si>
    <t xml:space="preserve">6:34208476-35208476</t>
  </si>
  <si>
    <t xml:space="preserve">6:108483527-109483527</t>
  </si>
  <si>
    <t xml:space="preserve">7:46130354-47130354</t>
  </si>
  <si>
    <t xml:space="preserve">7:50508649-51602820</t>
  </si>
  <si>
    <t xml:space="preserve">8:73730346-74730346</t>
  </si>
  <si>
    <t xml:space="preserve">8:120561879-121561879</t>
  </si>
  <si>
    <t xml:space="preserve">9:102275717-103275717</t>
  </si>
  <si>
    <t xml:space="preserve">10:98776086-99776086</t>
  </si>
  <si>
    <t xml:space="preserve">11:16508605-17508605</t>
  </si>
  <si>
    <t xml:space="preserve">11:31313509-32313509</t>
  </si>
  <si>
    <t xml:space="preserve">12:55713297-56713297</t>
  </si>
  <si>
    <t xml:space="preserve">14:77226559-78226559</t>
  </si>
  <si>
    <t xml:space="preserve">15:30925002-31925002</t>
  </si>
  <si>
    <t xml:space="preserve">18:56538761-57538761</t>
  </si>
  <si>
    <t xml:space="preserve">19:10270305-11270305</t>
  </si>
  <si>
    <t xml:space="preserve">1:26025855-27025855</t>
  </si>
  <si>
    <t xml:space="preserve">1:77950517-78950517</t>
  </si>
  <si>
    <t xml:space="preserve">1:182881444-183881444</t>
  </si>
  <si>
    <t xml:space="preserve">2:172146765-173146765</t>
  </si>
  <si>
    <t xml:space="preserve">4:159154901-160154901</t>
  </si>
  <si>
    <t xml:space="preserve">4:184444864-185444864</t>
  </si>
  <si>
    <t xml:space="preserve">5:87347992-88347992</t>
  </si>
  <si>
    <t xml:space="preserve">6:34170344-35170344</t>
  </si>
  <si>
    <t xml:space="preserve">6:108483527-109889508</t>
  </si>
  <si>
    <t xml:space="preserve">7:27201861-28201861</t>
  </si>
  <si>
    <t xml:space="preserve">8:104632625-105632625</t>
  </si>
  <si>
    <t xml:space="preserve">9:71248611-72248611</t>
  </si>
  <si>
    <t xml:space="preserve">10:49241135-50241135</t>
  </si>
  <si>
    <t xml:space="preserve">11:16501427-17501427</t>
  </si>
  <si>
    <t xml:space="preserve">11:68433041-69433041</t>
  </si>
  <si>
    <t xml:space="preserve">12:95677759-96677759</t>
  </si>
  <si>
    <t xml:space="preserve">12:112518479-113518479</t>
  </si>
  <si>
    <t xml:space="preserve">12:117995726-118995726</t>
  </si>
  <si>
    <t xml:space="preserve">13:49972659-50972659</t>
  </si>
  <si>
    <t xml:space="preserve">14:60508596-61508596</t>
  </si>
  <si>
    <t xml:space="preserve">14:74166641-75628316</t>
  </si>
  <si>
    <t xml:space="preserve">14:103907243-104907243</t>
  </si>
  <si>
    <t xml:space="preserve">15:30953147-31953147</t>
  </si>
  <si>
    <t xml:space="preserve">15:40715181-41715181</t>
  </si>
  <si>
    <t xml:space="preserve">15:53127786-54504516</t>
  </si>
  <si>
    <t xml:space="preserve">16:24327361-25327361</t>
  </si>
  <si>
    <t xml:space="preserve">16:79985098-80985098</t>
  </si>
  <si>
    <t xml:space="preserve">17:79064542-80064542</t>
  </si>
  <si>
    <t xml:space="preserve">18:6239875-7239875</t>
  </si>
  <si>
    <t xml:space="preserve">19:39807879-40807879</t>
  </si>
  <si>
    <t xml:space="preserve">19:47826378-48826378</t>
  </si>
  <si>
    <t xml:space="preserve">1:41273994-42273994</t>
  </si>
  <si>
    <t xml:space="preserve">1:150051295-151051295</t>
  </si>
  <si>
    <t xml:space="preserve">1:213607008-214607008</t>
  </si>
  <si>
    <t xml:space="preserve">22:17630209-18630209</t>
  </si>
  <si>
    <t xml:space="preserve">22:45864161-46864161</t>
  </si>
  <si>
    <t xml:space="preserve">2:55739897-56739897</t>
  </si>
  <si>
    <t xml:space="preserve">2:85267735-86267735</t>
  </si>
  <si>
    <t xml:space="preserve">2:111374697-112449327</t>
  </si>
  <si>
    <t xml:space="preserve">2:172221762-173221762</t>
  </si>
  <si>
    <t xml:space="preserve">2:238729440-239729440</t>
  </si>
  <si>
    <t xml:space="preserve">3:13887519-14887519</t>
  </si>
  <si>
    <t xml:space="preserve">3:28940972-29940972</t>
  </si>
  <si>
    <t xml:space="preserve">3:183476108-184476108</t>
  </si>
  <si>
    <t xml:space="preserve">4:54588093-55588093</t>
  </si>
  <si>
    <t xml:space="preserve">4:81217886-82217886</t>
  </si>
  <si>
    <t xml:space="preserve">4:184442404-185442404</t>
  </si>
  <si>
    <t xml:space="preserve">5:70891412-71891412</t>
  </si>
  <si>
    <t xml:space="preserve">5:86598190-88371121</t>
  </si>
  <si>
    <t xml:space="preserve">5:148101243-149101243</t>
  </si>
  <si>
    <t xml:space="preserve">6:83831841-84831841</t>
  </si>
  <si>
    <t xml:space="preserve">6:149584184-150584184</t>
  </si>
  <si>
    <t xml:space="preserve">7:7505174-8505174</t>
  </si>
  <si>
    <t xml:space="preserve">7:155117259-156117259</t>
  </si>
  <si>
    <t xml:space="preserve">8:8104184-9104184</t>
  </si>
  <si>
    <t xml:space="preserve">8:120373342-121373342</t>
  </si>
  <si>
    <t xml:space="preserve">9:21059961-22059961</t>
  </si>
  <si>
    <t xml:space="preserve">11:16684623-17684623</t>
  </si>
  <si>
    <t xml:space="preserve">11:31319174-32319174</t>
  </si>
  <si>
    <t xml:space="preserve">11:116941594-117941594</t>
  </si>
  <si>
    <t xml:space="preserve">12:117996798-118996798</t>
  </si>
  <si>
    <t xml:space="preserve">13:30395193-31395193</t>
  </si>
  <si>
    <t xml:space="preserve">14:74166641-75596215</t>
  </si>
  <si>
    <t xml:space="preserve">15:30961722-31961722</t>
  </si>
  <si>
    <t xml:space="preserve">15:53504516-54504516</t>
  </si>
  <si>
    <t xml:space="preserve">18:12474737-13474737</t>
  </si>
  <si>
    <t xml:space="preserve">19:47277661-48277661</t>
  </si>
  <si>
    <t xml:space="preserve">1:10200448-11200448</t>
  </si>
  <si>
    <t xml:space="preserve">1:203698882-204698882</t>
  </si>
  <si>
    <t xml:space="preserve">1:216196927-217196927</t>
  </si>
  <si>
    <t xml:space="preserve">21:40913744-41913744</t>
  </si>
  <si>
    <t xml:space="preserve">21:46828990-47828990</t>
  </si>
  <si>
    <t xml:space="preserve">22:27277944-28277944</t>
  </si>
  <si>
    <t xml:space="preserve">2:158593606-159593606</t>
  </si>
  <si>
    <t xml:space="preserve">3:2769481-3769481</t>
  </si>
  <si>
    <t xml:space="preserve">3:24438673-25438673</t>
  </si>
  <si>
    <t xml:space="preserve">3:45309329-46309329</t>
  </si>
  <si>
    <t xml:space="preserve">3:65068825-66068825</t>
  </si>
  <si>
    <t xml:space="preserve">4:159342601-160342601</t>
  </si>
  <si>
    <t xml:space="preserve">5:86635896-88347992</t>
  </si>
  <si>
    <t xml:space="preserve">6:34261675-35261675</t>
  </si>
  <si>
    <t xml:space="preserve">6:83817533-84817533</t>
  </si>
  <si>
    <t xml:space="preserve">6:164106534-165106534</t>
  </si>
  <si>
    <t xml:space="preserve">7:50335342-51602820</t>
  </si>
  <si>
    <t xml:space="preserve">7:74662175-75662175</t>
  </si>
  <si>
    <t xml:space="preserve">8:104603650-105603650</t>
  </si>
  <si>
    <t xml:space="preserve">10:69491853-70491853</t>
  </si>
  <si>
    <t xml:space="preserve">11:31318119-32318119</t>
  </si>
  <si>
    <t xml:space="preserve">11:68468271-69800075</t>
  </si>
  <si>
    <t xml:space="preserve">12:55615585-56615585</t>
  </si>
  <si>
    <t xml:space="preserve">12:95744473-96744473</t>
  </si>
  <si>
    <t xml:space="preserve">13:28476389-29476389</t>
  </si>
  <si>
    <t xml:space="preserve">13:49623317-50623317</t>
  </si>
  <si>
    <t xml:space="preserve">13:100126896-101126896</t>
  </si>
  <si>
    <t xml:space="preserve">14:35578422-36578422</t>
  </si>
  <si>
    <t xml:space="preserve">14:73518221-75776079</t>
  </si>
  <si>
    <t xml:space="preserve">15:44974371-45974371</t>
  </si>
  <si>
    <t xml:space="preserve">15:53474475-54474475</t>
  </si>
  <si>
    <t xml:space="preserve">15:100705180-101705180</t>
  </si>
  <si>
    <t xml:space="preserve">16:79949240-80949240</t>
  </si>
  <si>
    <t xml:space="preserve">16:85200481-86200481</t>
  </si>
  <si>
    <t xml:space="preserve">17:5837247-6837247</t>
  </si>
  <si>
    <t xml:space="preserve">17:25817502-26817502</t>
  </si>
  <si>
    <t xml:space="preserve">17:43172118-44172118</t>
  </si>
  <si>
    <t xml:space="preserve">17:79011815-80011815</t>
  </si>
  <si>
    <t xml:space="preserve">18:56471398-57471398</t>
  </si>
  <si>
    <t xml:space="preserve">19:3271586-4271586</t>
  </si>
  <si>
    <t xml:space="preserve">1:22898065-23898065</t>
  </si>
  <si>
    <t xml:space="preserve">1:199830479-200830479</t>
  </si>
  <si>
    <t xml:space="preserve">1:204801537-205801537</t>
  </si>
  <si>
    <t xml:space="preserve">1:221648552-222648552</t>
  </si>
  <si>
    <t xml:space="preserve">1:226874949-227874949</t>
  </si>
  <si>
    <t xml:space="preserve">20:62285115-63285115</t>
  </si>
  <si>
    <t xml:space="preserve">21:33720277-34720277</t>
  </si>
  <si>
    <t xml:space="preserve">22:30119599-31119599</t>
  </si>
  <si>
    <t xml:space="preserve">22:45877008-46877008</t>
  </si>
  <si>
    <t xml:space="preserve">2:23492582-24492582</t>
  </si>
  <si>
    <t xml:space="preserve">2:66360063-67360063</t>
  </si>
  <si>
    <t xml:space="preserve">2:144838686-145838686</t>
  </si>
  <si>
    <t xml:space="preserve">2:168527149-169527149</t>
  </si>
  <si>
    <t xml:space="preserve">2:216307227-217350944</t>
  </si>
  <si>
    <t xml:space="preserve">2:218017174-219017174</t>
  </si>
  <si>
    <t xml:space="preserve">2:227603745-228603745</t>
  </si>
  <si>
    <t xml:space="preserve">2:232889326-233889326</t>
  </si>
  <si>
    <t xml:space="preserve">3:24647501-25647501</t>
  </si>
  <si>
    <t xml:space="preserve">3:27210507-28210507</t>
  </si>
  <si>
    <t xml:space="preserve">3:128751922-129751922</t>
  </si>
  <si>
    <t xml:space="preserve">3:149610582-150610582</t>
  </si>
  <si>
    <t xml:space="preserve">3:155819087-157328823</t>
  </si>
  <si>
    <t xml:space="preserve">5:55245334-56245334</t>
  </si>
  <si>
    <t xml:space="preserve">5:70986228-71986228</t>
  </si>
  <si>
    <t xml:space="preserve">5:87336307-88584016</t>
  </si>
  <si>
    <t xml:space="preserve">5:125595011-126595011</t>
  </si>
  <si>
    <t xml:space="preserve">5:148115269-149115269</t>
  </si>
  <si>
    <t xml:space="preserve">6:6729619-7729619</t>
  </si>
  <si>
    <t xml:space="preserve">6:56229425-57229425</t>
  </si>
  <si>
    <t xml:space="preserve">6:79106615-80106615</t>
  </si>
  <si>
    <t xml:space="preserve">6:106015218-107015218</t>
  </si>
  <si>
    <t xml:space="preserve">6:149421388-150421388</t>
  </si>
  <si>
    <t xml:space="preserve">7:367033-1367033</t>
  </si>
  <si>
    <t xml:space="preserve">7:50600190-51600190</t>
  </si>
  <si>
    <t xml:space="preserve">7:98986032-99986032</t>
  </si>
  <si>
    <t xml:space="preserve">7:106575394-107575394</t>
  </si>
  <si>
    <t xml:space="preserve">7:129091807-130091807</t>
  </si>
  <si>
    <t xml:space="preserve">8:61091436-62487181</t>
  </si>
  <si>
    <t xml:space="preserve">8:108621063-109621063</t>
  </si>
  <si>
    <t xml:space="preserve">9:21076591-22076591</t>
  </si>
  <si>
    <t xml:space="preserve">9:76684666-77684666</t>
  </si>
  <si>
    <t xml:space="preserve">9:126096547-127096547</t>
  </si>
  <si>
    <t xml:space="preserve">10:62147787-63147787</t>
  </si>
  <si>
    <t xml:space="preserve">10:85478809-86478809</t>
  </si>
  <si>
    <t xml:space="preserve">10:123710369-124715421</t>
  </si>
  <si>
    <t xml:space="preserve">11:122044-1122044</t>
  </si>
  <si>
    <t xml:space="preserve">11:76429337-77429337</t>
  </si>
  <si>
    <t xml:space="preserve">12:-135547-864453</t>
  </si>
  <si>
    <t xml:space="preserve">13:28484400-29484400</t>
  </si>
  <si>
    <t xml:space="preserve">13:113823997-114823997</t>
  </si>
  <si>
    <t xml:space="preserve">14:60503889-61503889</t>
  </si>
  <si>
    <t xml:space="preserve">14:74166641-75193803</t>
  </si>
  <si>
    <t xml:space="preserve">15:52249729-53249729</t>
  </si>
  <si>
    <t xml:space="preserve">15:89232471-90232471</t>
  </si>
  <si>
    <t xml:space="preserve">15:101252435-102252435</t>
  </si>
  <si>
    <t xml:space="preserve">17:5836824-6836824</t>
  </si>
  <si>
    <t xml:space="preserve">17:79026821-80026821</t>
  </si>
  <si>
    <t xml:space="preserve">19:35761373-36761373</t>
  </si>
  <si>
    <t xml:space="preserve">1:112644012-114008391</t>
  </si>
  <si>
    <t xml:space="preserve">1:149976103-150976103</t>
  </si>
  <si>
    <t xml:space="preserve">1:196170757-197202810</t>
  </si>
  <si>
    <t xml:space="preserve">20:10112963-11434583</t>
  </si>
  <si>
    <t xml:space="preserve">21:44612224-45612224</t>
  </si>
  <si>
    <t xml:space="preserve">22:22859564-23859564</t>
  </si>
  <si>
    <t xml:space="preserve">2:23513268-24513268</t>
  </si>
  <si>
    <t xml:space="preserve">2:54365527-55365527</t>
  </si>
  <si>
    <t xml:space="preserve">2:71171116-72171116</t>
  </si>
  <si>
    <t xml:space="preserve">2:168526571-169526571</t>
  </si>
  <si>
    <t xml:space="preserve">2:216350944-217350944</t>
  </si>
  <si>
    <t xml:space="preserve">2:233728946-234728946</t>
  </si>
  <si>
    <t xml:space="preserve">3:100442033-101442033</t>
  </si>
  <si>
    <t xml:space="preserve">5:16686336-17845553</t>
  </si>
  <si>
    <t xml:space="preserve">5:87347988-88543464</t>
  </si>
  <si>
    <t xml:space="preserve">6:6401663-7401663</t>
  </si>
  <si>
    <t xml:space="preserve">6:29814116-30814116</t>
  </si>
  <si>
    <t xml:space="preserve">6:31394355-32410938</t>
  </si>
  <si>
    <t xml:space="preserve">6:42249533-43249533</t>
  </si>
  <si>
    <t xml:space="preserve">6:56183429-57183429</t>
  </si>
  <si>
    <t xml:space="preserve">6:76277524-77277524</t>
  </si>
  <si>
    <t xml:space="preserve">6:83773426-84773426</t>
  </si>
  <si>
    <t xml:space="preserve">6:108810596-109810596</t>
  </si>
  <si>
    <t xml:space="preserve">7:99500274-100852470</t>
  </si>
  <si>
    <t xml:space="preserve">7:101054599-102054599</t>
  </si>
  <si>
    <t xml:space="preserve">8:61146204-62146204</t>
  </si>
  <si>
    <t xml:space="preserve">8:108639124-109639124</t>
  </si>
  <si>
    <t xml:space="preserve">9:109293425-110293425</t>
  </si>
  <si>
    <t xml:space="preserve">10:16351408-17351408</t>
  </si>
  <si>
    <t xml:space="preserve">10:98391339-99391339</t>
  </si>
  <si>
    <t xml:space="preserve">11:68791285-69791285</t>
  </si>
  <si>
    <t xml:space="preserve">11:119555403-120555403</t>
  </si>
  <si>
    <t xml:space="preserve">12:95782427-96782427</t>
  </si>
  <si>
    <t xml:space="preserve">13:21818331-22818331</t>
  </si>
  <si>
    <t xml:space="preserve">14:59173968-60173968</t>
  </si>
  <si>
    <t xml:space="preserve">14:60591401-61591401</t>
  </si>
  <si>
    <t xml:space="preserve">14:74133286-75133286</t>
  </si>
  <si>
    <t xml:space="preserve">15:88619104-89619104</t>
  </si>
  <si>
    <t xml:space="preserve">16:79939088-80939088</t>
  </si>
  <si>
    <t xml:space="preserve">17:60565728-61565728</t>
  </si>
  <si>
    <t xml:space="preserve">1:81896766-82896766</t>
  </si>
  <si>
    <t xml:space="preserve">1:182079035-183848252</t>
  </si>
  <si>
    <t xml:space="preserve">2:172313219-173313219</t>
  </si>
  <si>
    <t xml:space="preserve">3:24690068-25690068</t>
  </si>
  <si>
    <t xml:space="preserve">3:45314094-46314094</t>
  </si>
  <si>
    <t xml:space="preserve">4:148393503-149393503</t>
  </si>
  <si>
    <t xml:space="preserve">6:108520032-109520032</t>
  </si>
  <si>
    <t xml:space="preserve">7:47327255-48327255</t>
  </si>
  <si>
    <t xml:space="preserve">7:50511995-51511995</t>
  </si>
  <si>
    <t xml:space="preserve">8:73719095-74719095</t>
  </si>
  <si>
    <t xml:space="preserve">8:95446160-96446160</t>
  </si>
  <si>
    <t xml:space="preserve">8:108614464-109614464</t>
  </si>
  <si>
    <t xml:space="preserve">9:76003064-77003064</t>
  </si>
  <si>
    <t xml:space="preserve">10:125155550-126155550</t>
  </si>
  <si>
    <t xml:space="preserve">11:60137164-61137164</t>
  </si>
  <si>
    <t xml:space="preserve">11:88517961-89517961</t>
  </si>
  <si>
    <t xml:space="preserve">13:51400442-52400442</t>
  </si>
  <si>
    <t xml:space="preserve">17:79115572-80115572</t>
  </si>
  <si>
    <t xml:space="preserve">1:196170757-197179455</t>
  </si>
  <si>
    <t xml:space="preserve">22:32562231-33562231</t>
  </si>
  <si>
    <t xml:space="preserve">2:9585722-10585722</t>
  </si>
  <si>
    <t xml:space="preserve">2:169567947-170567947</t>
  </si>
  <si>
    <t xml:space="preserve">5:157527436-158527436</t>
  </si>
  <si>
    <t xml:space="preserve">6:1432446-2432446</t>
  </si>
  <si>
    <t xml:space="preserve">6:31410938-32430462</t>
  </si>
  <si>
    <t xml:space="preserve">6:43325266-44326627</t>
  </si>
  <si>
    <t xml:space="preserve">7:101051704-102051704</t>
  </si>
  <si>
    <t xml:space="preserve">9:12112529-13112529</t>
  </si>
  <si>
    <t xml:space="preserve">section</t>
  </si>
  <si>
    <t xml:space="preserve">group</t>
  </si>
  <si>
    <t xml:space="preserve">marker_set</t>
  </si>
  <si>
    <t xml:space="preserve">spearman_r</t>
  </si>
  <si>
    <t xml:space="preserve">p</t>
  </si>
  <si>
    <t xml:space="preserve">n_spots</t>
  </si>
  <si>
    <t xml:space="preserve">smr_genes_found</t>
  </si>
  <si>
    <t xml:space="preserve">fdr</t>
  </si>
  <si>
    <t xml:space="preserve">GSM7441725_control-A1</t>
  </si>
  <si>
    <t xml:space="preserve">control</t>
  </si>
  <si>
    <t xml:space="preserve">GCL_RGC</t>
  </si>
  <si>
    <t xml:space="preserve">ONL_PR</t>
  </si>
  <si>
    <t xml:space="preserve">Choroid_EC</t>
  </si>
  <si>
    <t xml:space="preserve">Muller</t>
  </si>
  <si>
    <t xml:space="preserve">GSM7441726_control-D1</t>
  </si>
  <si>
    <t xml:space="preserve">GSM7441727_CNV-A1</t>
  </si>
  <si>
    <t xml:space="preserve">CNV</t>
  </si>
  <si>
    <t xml:space="preserve">GSM7441728_CNV-B1</t>
  </si>
  <si>
    <t xml:space="preserve">GSM7441729_CNV-C1</t>
  </si>
  <si>
    <t xml:space="preserve">gene</t>
  </si>
  <si>
    <t xml:space="preserve">mean_control</t>
  </si>
  <si>
    <t xml:space="preserve">mean_CNV</t>
  </si>
  <si>
    <t xml:space="preserve">log2FC_CNV_vs_ctrl</t>
  </si>
  <si>
    <t xml:space="preserve">wilcoxon_p</t>
  </si>
  <si>
    <t xml:space="preserve">mean_expr</t>
  </si>
  <si>
    <t xml:space="preserve">pct_spots_expr</t>
  </si>
  <si>
    <t xml:space="preserve">control_mean_expr</t>
  </si>
  <si>
    <t xml:space="preserve">log2_ratio_vs_control_mean</t>
  </si>
  <si>
    <t xml:space="preserve">Source Name</t>
  </si>
  <si>
    <t xml:space="preserve">Source URL</t>
  </si>
  <si>
    <t xml:space="preserve">GEO GSE234047 processed section expression</t>
  </si>
  <si>
    <t xml:space="preserve">https://www.ncbi.nlm.nih.gov/geo/query/acc.cgi?acc=GSE234047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</si>
</sst>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7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-0.167108</v>
      </c>
      <c r="F2" s="0" t="n">
        <v>0.0212805</v>
      </c>
      <c r="G2" s="0" t="n">
        <v>4.073339E-015</v>
      </c>
      <c r="H2" s="0" t="n">
        <v>0.02001716</v>
      </c>
      <c r="I2" s="0" t="n">
        <v>20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n">
        <v>0.458826</v>
      </c>
      <c r="F3" s="0" t="n">
        <v>0.0606378</v>
      </c>
      <c r="G3" s="0" t="n">
        <v>3.82909E-014</v>
      </c>
      <c r="H3" s="0" t="n">
        <v>0.08492657</v>
      </c>
      <c r="I3" s="0" t="n">
        <v>20</v>
      </c>
    </row>
    <row r="4" customFormat="false" ht="15" hidden="false" customHeight="false" outlineLevel="0" collapsed="false">
      <c r="A4" s="0" t="s">
        <v>17</v>
      </c>
      <c r="B4" s="0" t="s">
        <v>10</v>
      </c>
      <c r="C4" s="0" t="s">
        <v>11</v>
      </c>
      <c r="D4" s="0" t="s">
        <v>12</v>
      </c>
      <c r="E4" s="0" t="n">
        <v>-0.154834</v>
      </c>
      <c r="F4" s="0" t="n">
        <v>0.0208718</v>
      </c>
      <c r="G4" s="0" t="n">
        <v>1.186294E-013</v>
      </c>
      <c r="H4" s="0" t="n">
        <v>0.02980758</v>
      </c>
      <c r="I4" s="0" t="n">
        <v>20</v>
      </c>
    </row>
    <row r="5" customFormat="false" ht="15" hidden="false" customHeight="false" outlineLevel="0" collapsed="false">
      <c r="A5" s="0" t="s">
        <v>9</v>
      </c>
      <c r="B5" s="0" t="s">
        <v>18</v>
      </c>
      <c r="C5" s="0" t="s">
        <v>18</v>
      </c>
      <c r="D5" s="0" t="s">
        <v>19</v>
      </c>
      <c r="E5" s="0" t="n">
        <v>-0.212369</v>
      </c>
      <c r="F5" s="0" t="n">
        <v>0.0309686</v>
      </c>
      <c r="G5" s="0" t="n">
        <v>7.004858E-012</v>
      </c>
      <c r="H5" s="0" t="n">
        <v>0.9132134</v>
      </c>
      <c r="I5" s="0" t="n">
        <v>20</v>
      </c>
    </row>
    <row r="6" customFormat="false" ht="15" hidden="false" customHeight="false" outlineLevel="0" collapsed="false">
      <c r="A6" s="0" t="s">
        <v>17</v>
      </c>
      <c r="B6" s="0" t="s">
        <v>20</v>
      </c>
      <c r="C6" s="0" t="s">
        <v>21</v>
      </c>
      <c r="D6" s="0" t="s">
        <v>22</v>
      </c>
      <c r="E6" s="0" t="n">
        <v>1.11608</v>
      </c>
      <c r="F6" s="0" t="n">
        <v>0.17361</v>
      </c>
      <c r="G6" s="0" t="n">
        <v>1.287548E-010</v>
      </c>
      <c r="H6" s="0" t="n">
        <v>0.09100835</v>
      </c>
      <c r="I6" s="0" t="n">
        <v>20</v>
      </c>
    </row>
    <row r="7" customFormat="false" ht="15" hidden="false" customHeight="false" outlineLevel="0" collapsed="false">
      <c r="A7" s="0" t="s">
        <v>9</v>
      </c>
      <c r="B7" s="0" t="s">
        <v>23</v>
      </c>
      <c r="C7" s="0" t="s">
        <v>24</v>
      </c>
      <c r="D7" s="0" t="s">
        <v>25</v>
      </c>
      <c r="E7" s="0" t="n">
        <v>-0.187897</v>
      </c>
      <c r="F7" s="0" t="n">
        <v>0.0306959</v>
      </c>
      <c r="G7" s="0" t="n">
        <v>9.286315E-010</v>
      </c>
      <c r="H7" s="0" t="n">
        <v>0.2586731</v>
      </c>
      <c r="I7" s="0" t="n">
        <v>20</v>
      </c>
    </row>
    <row r="8" customFormat="false" ht="15" hidden="false" customHeight="false" outlineLevel="0" collapsed="false">
      <c r="A8" s="0" t="s">
        <v>9</v>
      </c>
      <c r="B8" s="0" t="s">
        <v>26</v>
      </c>
      <c r="C8" s="0" t="s">
        <v>27</v>
      </c>
      <c r="D8" s="0" t="s">
        <v>28</v>
      </c>
      <c r="E8" s="0" t="n">
        <v>-0.534378</v>
      </c>
      <c r="F8" s="0" t="n">
        <v>0.0876197</v>
      </c>
      <c r="G8" s="0" t="n">
        <v>1.068485E-009</v>
      </c>
      <c r="H8" s="0" t="n">
        <v>0.04295994</v>
      </c>
      <c r="I8" s="0" t="n">
        <v>20</v>
      </c>
    </row>
    <row r="9" customFormat="false" ht="15" hidden="false" customHeight="false" outlineLevel="0" collapsed="false">
      <c r="A9" s="0" t="s">
        <v>9</v>
      </c>
      <c r="B9" s="0" t="s">
        <v>29</v>
      </c>
      <c r="C9" s="0" t="s">
        <v>30</v>
      </c>
      <c r="D9" s="0" t="s">
        <v>31</v>
      </c>
      <c r="E9" s="0" t="n">
        <v>0.13449</v>
      </c>
      <c r="F9" s="0" t="n">
        <v>0.0221998</v>
      </c>
      <c r="G9" s="0" t="n">
        <v>1.376843E-009</v>
      </c>
      <c r="H9" s="0" t="n">
        <v>0.1433701</v>
      </c>
      <c r="I9" s="0" t="n">
        <v>20</v>
      </c>
    </row>
    <row r="10" customFormat="false" ht="15" hidden="false" customHeight="false" outlineLevel="0" collapsed="false">
      <c r="A10" s="0" t="s">
        <v>9</v>
      </c>
      <c r="B10" s="0" t="s">
        <v>32</v>
      </c>
      <c r="C10" s="0" t="s">
        <v>33</v>
      </c>
      <c r="D10" s="0" t="s">
        <v>34</v>
      </c>
      <c r="E10" s="0" t="n">
        <v>-0.459561</v>
      </c>
      <c r="F10" s="0" t="n">
        <v>0.075952</v>
      </c>
      <c r="G10" s="0" t="n">
        <v>1.442418E-009</v>
      </c>
      <c r="H10" s="0" t="n">
        <v>0.03288505</v>
      </c>
      <c r="I10" s="0" t="n">
        <v>20</v>
      </c>
    </row>
    <row r="11" customFormat="false" ht="15" hidden="false" customHeight="false" outlineLevel="0" collapsed="false">
      <c r="A11" s="0" t="s">
        <v>9</v>
      </c>
      <c r="B11" s="0" t="s">
        <v>35</v>
      </c>
      <c r="C11" s="0" t="s">
        <v>36</v>
      </c>
      <c r="D11" s="0" t="s">
        <v>37</v>
      </c>
      <c r="E11" s="0" t="n">
        <v>-0.256576</v>
      </c>
      <c r="F11" s="0" t="n">
        <v>0.0445028</v>
      </c>
      <c r="G11" s="0" t="n">
        <v>8.146842E-009</v>
      </c>
      <c r="H11" s="0" t="n">
        <v>0.111319</v>
      </c>
      <c r="I11" s="0" t="n">
        <v>20</v>
      </c>
    </row>
    <row r="12" customFormat="false" ht="15" hidden="false" customHeight="false" outlineLevel="0" collapsed="false">
      <c r="A12" s="0" t="s">
        <v>9</v>
      </c>
      <c r="B12" s="0" t="s">
        <v>38</v>
      </c>
      <c r="C12" s="0" t="s">
        <v>39</v>
      </c>
      <c r="D12" s="0" t="s">
        <v>40</v>
      </c>
      <c r="E12" s="0" t="n">
        <v>5.09963</v>
      </c>
      <c r="F12" s="0" t="n">
        <v>0.905155</v>
      </c>
      <c r="G12" s="0" t="n">
        <v>1.760938E-008</v>
      </c>
      <c r="H12" s="0" t="n">
        <v>0.02637387</v>
      </c>
      <c r="I12" s="0" t="n">
        <v>19</v>
      </c>
    </row>
    <row r="13" customFormat="false" ht="15" hidden="false" customHeight="false" outlineLevel="0" collapsed="false">
      <c r="A13" s="0" t="s">
        <v>9</v>
      </c>
      <c r="B13" s="0" t="s">
        <v>41</v>
      </c>
      <c r="C13" s="0" t="s">
        <v>42</v>
      </c>
      <c r="D13" s="0" t="s">
        <v>43</v>
      </c>
      <c r="E13" s="0" t="n">
        <v>-0.161287</v>
      </c>
      <c r="F13" s="0" t="n">
        <v>0.0298273</v>
      </c>
      <c r="G13" s="0" t="n">
        <v>6.395943E-008</v>
      </c>
      <c r="H13" s="0" t="n">
        <v>0.3020951</v>
      </c>
      <c r="I13" s="0" t="n">
        <v>20</v>
      </c>
    </row>
    <row r="14" customFormat="false" ht="15" hidden="false" customHeight="false" outlineLevel="0" collapsed="false">
      <c r="A14" s="0" t="s">
        <v>9</v>
      </c>
      <c r="B14" s="0" t="s">
        <v>44</v>
      </c>
      <c r="C14" s="0" t="s">
        <v>45</v>
      </c>
      <c r="D14" s="0" t="s">
        <v>46</v>
      </c>
      <c r="E14" s="0" t="n">
        <v>-0.955163</v>
      </c>
      <c r="F14" s="0" t="n">
        <v>0.176727</v>
      </c>
      <c r="G14" s="0" t="n">
        <v>6.489993E-008</v>
      </c>
      <c r="H14" s="0" t="n">
        <v>0.04027323</v>
      </c>
      <c r="I14" s="0" t="n">
        <v>20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49</v>
      </c>
      <c r="D15" s="0" t="s">
        <v>50</v>
      </c>
      <c r="E15" s="0" t="n">
        <v>-2.02646</v>
      </c>
      <c r="F15" s="0" t="n">
        <v>0.378855</v>
      </c>
      <c r="G15" s="0" t="n">
        <v>8.848301E-008</v>
      </c>
      <c r="H15" s="0" t="n">
        <v>0.1307901</v>
      </c>
      <c r="I15" s="0" t="n">
        <v>20</v>
      </c>
    </row>
    <row r="16" customFormat="false" ht="15" hidden="false" customHeight="false" outlineLevel="0" collapsed="false">
      <c r="A16" s="0" t="s">
        <v>13</v>
      </c>
      <c r="B16" s="0" t="s">
        <v>18</v>
      </c>
      <c r="C16" s="0" t="s">
        <v>18</v>
      </c>
      <c r="D16" s="0" t="s">
        <v>19</v>
      </c>
      <c r="E16" s="0" t="n">
        <v>-0.131618</v>
      </c>
      <c r="F16" s="0" t="n">
        <v>0.0259343</v>
      </c>
      <c r="G16" s="0" t="n">
        <v>3.874105E-007</v>
      </c>
      <c r="H16" s="0" t="n">
        <v>0.9694268</v>
      </c>
      <c r="I16" s="0" t="n">
        <v>20</v>
      </c>
    </row>
    <row r="17" customFormat="false" ht="15" hidden="false" customHeight="false" outlineLevel="0" collapsed="false">
      <c r="A17" s="0" t="s">
        <v>51</v>
      </c>
      <c r="B17" s="0" t="s">
        <v>20</v>
      </c>
      <c r="C17" s="0" t="s">
        <v>21</v>
      </c>
      <c r="D17" s="0" t="s">
        <v>22</v>
      </c>
      <c r="E17" s="0" t="n">
        <v>0.747674</v>
      </c>
      <c r="F17" s="0" t="n">
        <v>0.147572</v>
      </c>
      <c r="G17" s="0" t="n">
        <v>4.051962E-007</v>
      </c>
      <c r="H17" s="0" t="n">
        <v>0.1742341</v>
      </c>
      <c r="I17" s="0" t="n">
        <v>20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0" t="s">
        <v>53</v>
      </c>
      <c r="D18" s="0" t="s">
        <v>54</v>
      </c>
      <c r="E18" s="0" t="n">
        <v>0.191494</v>
      </c>
      <c r="F18" s="0" t="n">
        <v>0.0383902</v>
      </c>
      <c r="G18" s="0" t="n">
        <v>6.098122E-007</v>
      </c>
      <c r="H18" s="0" t="n">
        <v>0.01684781</v>
      </c>
      <c r="I18" s="0" t="n">
        <v>20</v>
      </c>
    </row>
    <row r="19" customFormat="false" ht="15" hidden="false" customHeight="false" outlineLevel="0" collapsed="false">
      <c r="A19" s="0" t="s">
        <v>9</v>
      </c>
      <c r="B19" s="0" t="s">
        <v>55</v>
      </c>
      <c r="C19" s="0" t="s">
        <v>56</v>
      </c>
      <c r="D19" s="0" t="s">
        <v>57</v>
      </c>
      <c r="E19" s="0" t="n">
        <v>-1.47586</v>
      </c>
      <c r="F19" s="0" t="n">
        <v>0.298589</v>
      </c>
      <c r="G19" s="0" t="n">
        <v>7.701511E-007</v>
      </c>
      <c r="H19" s="0" t="n">
        <v>0.2394734</v>
      </c>
      <c r="I19" s="0" t="n">
        <v>20</v>
      </c>
    </row>
    <row r="20" customFormat="false" ht="15" hidden="false" customHeight="false" outlineLevel="0" collapsed="false">
      <c r="A20" s="0" t="s">
        <v>17</v>
      </c>
      <c r="B20" s="0" t="s">
        <v>58</v>
      </c>
      <c r="C20" s="0" t="s">
        <v>59</v>
      </c>
      <c r="D20" s="0" t="s">
        <v>60</v>
      </c>
      <c r="E20" s="0" t="n">
        <v>-1.39043</v>
      </c>
      <c r="F20" s="0" t="n">
        <v>0.285215</v>
      </c>
      <c r="G20" s="0" t="n">
        <v>1.087849E-006</v>
      </c>
      <c r="H20" s="0" t="n">
        <v>0.1944563</v>
      </c>
      <c r="I20" s="0" t="n">
        <v>5</v>
      </c>
    </row>
    <row r="21" customFormat="false" ht="15" hidden="false" customHeight="false" outlineLevel="0" collapsed="false">
      <c r="A21" s="0" t="s">
        <v>51</v>
      </c>
      <c r="B21" s="0" t="s">
        <v>58</v>
      </c>
      <c r="C21" s="0" t="s">
        <v>59</v>
      </c>
      <c r="D21" s="0" t="s">
        <v>60</v>
      </c>
      <c r="E21" s="0" t="n">
        <v>-1.17141</v>
      </c>
      <c r="F21" s="0" t="n">
        <v>0.243489</v>
      </c>
      <c r="G21" s="0" t="n">
        <v>1.502082E-006</v>
      </c>
      <c r="H21" s="0" t="n">
        <v>0.1425249</v>
      </c>
      <c r="I21" s="0" t="n">
        <v>5</v>
      </c>
    </row>
    <row r="22" customFormat="false" ht="15" hidden="false" customHeight="false" outlineLevel="0" collapsed="false">
      <c r="A22" s="0" t="s">
        <v>13</v>
      </c>
      <c r="B22" s="0" t="s">
        <v>52</v>
      </c>
      <c r="C22" s="0" t="s">
        <v>53</v>
      </c>
      <c r="D22" s="0" t="s">
        <v>54</v>
      </c>
      <c r="E22" s="0" t="n">
        <v>0.162367</v>
      </c>
      <c r="F22" s="0" t="n">
        <v>0.0338054</v>
      </c>
      <c r="G22" s="0" t="n">
        <v>1.563179E-006</v>
      </c>
      <c r="H22" s="0" t="n">
        <v>0.04988382</v>
      </c>
      <c r="I22" s="0" t="n">
        <v>20</v>
      </c>
    </row>
    <row r="23" customFormat="false" ht="15" hidden="false" customHeight="false" outlineLevel="0" collapsed="false">
      <c r="A23" s="0" t="s">
        <v>47</v>
      </c>
      <c r="B23" s="0" t="s">
        <v>61</v>
      </c>
      <c r="C23" s="0" t="s">
        <v>62</v>
      </c>
      <c r="D23" s="0" t="s">
        <v>63</v>
      </c>
      <c r="E23" s="0" t="n">
        <v>-2.04157</v>
      </c>
      <c r="F23" s="0" t="n">
        <v>0.433356</v>
      </c>
      <c r="G23" s="0" t="n">
        <v>2.464264E-006</v>
      </c>
      <c r="H23" s="0" t="n">
        <v>0.02145565</v>
      </c>
      <c r="I23" s="0" t="n">
        <v>20</v>
      </c>
    </row>
    <row r="24" customFormat="false" ht="15" hidden="false" customHeight="false" outlineLevel="0" collapsed="false">
      <c r="A24" s="0" t="s">
        <v>47</v>
      </c>
      <c r="B24" s="0" t="s">
        <v>64</v>
      </c>
      <c r="C24" s="0" t="s">
        <v>65</v>
      </c>
      <c r="D24" s="0" t="s">
        <v>66</v>
      </c>
      <c r="E24" s="0" t="n">
        <v>-0.310738</v>
      </c>
      <c r="F24" s="0" t="n">
        <v>0.0666964</v>
      </c>
      <c r="G24" s="0" t="n">
        <v>3.177665E-006</v>
      </c>
      <c r="H24" s="0" t="n">
        <v>0.07089155</v>
      </c>
      <c r="I24" s="0" t="n">
        <v>20</v>
      </c>
    </row>
    <row r="25" customFormat="false" ht="15" hidden="false" customHeight="false" outlineLevel="0" collapsed="false">
      <c r="A25" s="0" t="s">
        <v>17</v>
      </c>
      <c r="B25" s="0" t="s">
        <v>18</v>
      </c>
      <c r="C25" s="0" t="s">
        <v>18</v>
      </c>
      <c r="D25" s="0" t="s">
        <v>19</v>
      </c>
      <c r="E25" s="0" t="n">
        <v>-0.146119</v>
      </c>
      <c r="F25" s="0" t="n">
        <v>0.0316163</v>
      </c>
      <c r="G25" s="0" t="n">
        <v>3.807022E-006</v>
      </c>
      <c r="H25" s="0" t="n">
        <v>0.04865361</v>
      </c>
      <c r="I25" s="0" t="n">
        <v>20</v>
      </c>
    </row>
    <row r="26" customFormat="false" ht="15" hidden="false" customHeight="false" outlineLevel="0" collapsed="false">
      <c r="A26" s="0" t="s">
        <v>13</v>
      </c>
      <c r="B26" s="0" t="s">
        <v>23</v>
      </c>
      <c r="C26" s="0" t="s">
        <v>24</v>
      </c>
      <c r="D26" s="0" t="s">
        <v>25</v>
      </c>
      <c r="E26" s="0" t="n">
        <v>-0.116672</v>
      </c>
      <c r="F26" s="0" t="n">
        <v>0.0256038</v>
      </c>
      <c r="G26" s="0" t="n">
        <v>5.193188E-006</v>
      </c>
      <c r="H26" s="0" t="n">
        <v>0.6145631</v>
      </c>
      <c r="I26" s="0" t="n">
        <v>20</v>
      </c>
    </row>
    <row r="27" customFormat="false" ht="15" hidden="false" customHeight="false" outlineLevel="0" collapsed="false">
      <c r="A27" s="0" t="s">
        <v>51</v>
      </c>
      <c r="B27" s="0" t="s">
        <v>67</v>
      </c>
      <c r="C27" s="0" t="s">
        <v>68</v>
      </c>
      <c r="D27" s="0" t="s">
        <v>69</v>
      </c>
      <c r="E27" s="0" t="n">
        <v>-1.47393</v>
      </c>
      <c r="F27" s="0" t="n">
        <v>0.330169</v>
      </c>
      <c r="G27" s="0" t="n">
        <v>8.038059E-006</v>
      </c>
      <c r="H27" s="0" t="n">
        <v>0.0258079</v>
      </c>
      <c r="I27" s="0" t="n">
        <v>12</v>
      </c>
    </row>
    <row r="28" customFormat="false" ht="15" hidden="false" customHeight="false" outlineLevel="0" collapsed="false">
      <c r="A28" s="0" t="s">
        <v>13</v>
      </c>
      <c r="B28" s="0" t="s">
        <v>41</v>
      </c>
      <c r="C28" s="0" t="s">
        <v>42</v>
      </c>
      <c r="D28" s="0" t="s">
        <v>43</v>
      </c>
      <c r="E28" s="0" t="n">
        <v>-0.105872</v>
      </c>
      <c r="F28" s="0" t="n">
        <v>0.0237168</v>
      </c>
      <c r="G28" s="0" t="n">
        <v>8.044242E-006</v>
      </c>
      <c r="H28" s="0" t="n">
        <v>0.01871418</v>
      </c>
      <c r="I28" s="0" t="n">
        <v>20</v>
      </c>
    </row>
    <row r="29" customFormat="false" ht="15" hidden="false" customHeight="false" outlineLevel="0" collapsed="false">
      <c r="A29" s="0" t="s">
        <v>9</v>
      </c>
      <c r="B29" s="0" t="s">
        <v>58</v>
      </c>
      <c r="C29" s="0" t="s">
        <v>59</v>
      </c>
      <c r="D29" s="0" t="s">
        <v>60</v>
      </c>
      <c r="E29" s="0" t="n">
        <v>-1.48327</v>
      </c>
      <c r="F29" s="0" t="n">
        <v>0.33924</v>
      </c>
      <c r="G29" s="0" t="n">
        <v>1.229249E-005</v>
      </c>
      <c r="H29" s="0" t="n">
        <v>0.04442672</v>
      </c>
      <c r="I29" s="0" t="n">
        <v>5</v>
      </c>
    </row>
    <row r="30" customFormat="false" ht="15" hidden="false" customHeight="false" outlineLevel="0" collapsed="false">
      <c r="A30" s="0" t="s">
        <v>13</v>
      </c>
      <c r="B30" s="0" t="s">
        <v>38</v>
      </c>
      <c r="C30" s="0" t="s">
        <v>39</v>
      </c>
      <c r="D30" s="0" t="s">
        <v>40</v>
      </c>
      <c r="E30" s="0" t="n">
        <v>1.24673</v>
      </c>
      <c r="F30" s="0" t="n">
        <v>0.287231</v>
      </c>
      <c r="G30" s="0" t="n">
        <v>1.42141E-005</v>
      </c>
      <c r="H30" s="0" t="n">
        <v>0.04225988</v>
      </c>
      <c r="I30" s="0" t="n">
        <v>20</v>
      </c>
    </row>
    <row r="31" customFormat="false" ht="15" hidden="false" customHeight="false" outlineLevel="0" collapsed="false">
      <c r="A31" s="0" t="s">
        <v>9</v>
      </c>
      <c r="B31" s="0" t="s">
        <v>70</v>
      </c>
      <c r="C31" s="0" t="s">
        <v>71</v>
      </c>
      <c r="D31" s="0" t="s">
        <v>72</v>
      </c>
      <c r="E31" s="0" t="n">
        <v>-0.280516</v>
      </c>
      <c r="F31" s="0" t="n">
        <v>0.0668407</v>
      </c>
      <c r="G31" s="0" t="n">
        <v>2.70724E-005</v>
      </c>
      <c r="H31" s="0" t="n">
        <v>0.01131692</v>
      </c>
      <c r="I31" s="0" t="n">
        <v>20</v>
      </c>
    </row>
    <row r="32" customFormat="false" ht="15" hidden="false" customHeight="false" outlineLevel="0" collapsed="false">
      <c r="A32" s="0" t="s">
        <v>17</v>
      </c>
      <c r="B32" s="0" t="s">
        <v>67</v>
      </c>
      <c r="C32" s="0" t="s">
        <v>68</v>
      </c>
      <c r="D32" s="0" t="s">
        <v>69</v>
      </c>
      <c r="E32" s="0" t="n">
        <v>-1.43024</v>
      </c>
      <c r="F32" s="0" t="n">
        <v>0.354462</v>
      </c>
      <c r="G32" s="0" t="n">
        <v>5.461305E-005</v>
      </c>
      <c r="H32" s="0" t="n">
        <v>0.02182973</v>
      </c>
      <c r="I32" s="0" t="n">
        <v>12</v>
      </c>
    </row>
    <row r="33" customFormat="false" ht="15" hidden="false" customHeight="false" outlineLevel="0" collapsed="false">
      <c r="A33" s="0" t="s">
        <v>73</v>
      </c>
      <c r="B33" s="0" t="s">
        <v>74</v>
      </c>
      <c r="C33" s="0" t="s">
        <v>75</v>
      </c>
      <c r="D33" s="0" t="s">
        <v>76</v>
      </c>
      <c r="E33" s="0" t="n">
        <v>0.252268</v>
      </c>
      <c r="F33" s="0" t="n">
        <v>0.0628037</v>
      </c>
      <c r="G33" s="0" t="n">
        <v>5.900128E-005</v>
      </c>
      <c r="H33" s="0" t="n">
        <v>0.7129784</v>
      </c>
      <c r="I33" s="0" t="n">
        <v>20</v>
      </c>
    </row>
    <row r="34" customFormat="false" ht="15" hidden="false" customHeight="false" outlineLevel="0" collapsed="false">
      <c r="A34" s="0" t="s">
        <v>17</v>
      </c>
      <c r="B34" s="0" t="s">
        <v>29</v>
      </c>
      <c r="C34" s="0" t="s">
        <v>30</v>
      </c>
      <c r="D34" s="0" t="s">
        <v>31</v>
      </c>
      <c r="E34" s="0" t="n">
        <v>0.0858095</v>
      </c>
      <c r="F34" s="0" t="n">
        <v>0.0213975</v>
      </c>
      <c r="G34" s="0" t="n">
        <v>6.06519E-005</v>
      </c>
      <c r="H34" s="0" t="n">
        <v>0.2345667</v>
      </c>
      <c r="I34" s="0" t="n">
        <v>20</v>
      </c>
    </row>
    <row r="35" customFormat="false" ht="15" hidden="false" customHeight="false" outlineLevel="0" collapsed="false">
      <c r="A35" s="0" t="s">
        <v>47</v>
      </c>
      <c r="B35" s="0" t="s">
        <v>77</v>
      </c>
      <c r="C35" s="0" t="s">
        <v>78</v>
      </c>
      <c r="D35" s="0" t="s">
        <v>79</v>
      </c>
      <c r="E35" s="0" t="n">
        <v>-0.534251</v>
      </c>
      <c r="F35" s="0" t="n">
        <v>0.133405</v>
      </c>
      <c r="G35" s="0" t="n">
        <v>6.208607E-005</v>
      </c>
      <c r="H35" s="0" t="n">
        <v>0.0571794</v>
      </c>
      <c r="I35" s="0" t="n">
        <v>20</v>
      </c>
    </row>
    <row r="36" customFormat="false" ht="15" hidden="false" customHeight="false" outlineLevel="0" collapsed="false">
      <c r="A36" s="0" t="s">
        <v>17</v>
      </c>
      <c r="B36" s="0" t="s">
        <v>26</v>
      </c>
      <c r="C36" s="0" t="s">
        <v>27</v>
      </c>
      <c r="D36" s="0" t="s">
        <v>28</v>
      </c>
      <c r="E36" s="0" t="n">
        <v>-0.327985</v>
      </c>
      <c r="F36" s="0" t="n">
        <v>0.0819163</v>
      </c>
      <c r="G36" s="0" t="n">
        <v>6.230442E-005</v>
      </c>
      <c r="H36" s="0" t="n">
        <v>0.06183538</v>
      </c>
      <c r="I36" s="0" t="n">
        <v>20</v>
      </c>
    </row>
    <row r="37" customFormat="false" ht="15" hidden="false" customHeight="false" outlineLevel="0" collapsed="false">
      <c r="A37" s="0" t="s">
        <v>17</v>
      </c>
      <c r="B37" s="0" t="s">
        <v>32</v>
      </c>
      <c r="C37" s="0" t="s">
        <v>33</v>
      </c>
      <c r="D37" s="0" t="s">
        <v>34</v>
      </c>
      <c r="E37" s="0" t="n">
        <v>-0.286611</v>
      </c>
      <c r="F37" s="0" t="n">
        <v>0.0716182</v>
      </c>
      <c r="G37" s="0" t="n">
        <v>6.282855E-005</v>
      </c>
      <c r="H37" s="0" t="n">
        <v>0.09229015</v>
      </c>
      <c r="I37" s="0" t="n">
        <v>20</v>
      </c>
    </row>
    <row r="38" customFormat="false" ht="15" hidden="false" customHeight="false" outlineLevel="0" collapsed="false">
      <c r="A38" s="0" t="s">
        <v>47</v>
      </c>
      <c r="B38" s="0" t="s">
        <v>80</v>
      </c>
      <c r="C38" s="0" t="s">
        <v>81</v>
      </c>
      <c r="D38" s="0" t="s">
        <v>82</v>
      </c>
      <c r="E38" s="0" t="n">
        <v>-1.58435</v>
      </c>
      <c r="F38" s="0" t="n">
        <v>0.403115</v>
      </c>
      <c r="G38" s="0" t="n">
        <v>8.484821E-005</v>
      </c>
      <c r="H38" s="0" t="n">
        <v>0.4203344</v>
      </c>
      <c r="I38" s="0" t="n">
        <v>19</v>
      </c>
    </row>
    <row r="39" customFormat="false" ht="15" hidden="false" customHeight="false" outlineLevel="0" collapsed="false">
      <c r="A39" s="0" t="s">
        <v>13</v>
      </c>
      <c r="B39" s="0" t="s">
        <v>83</v>
      </c>
      <c r="C39" s="0" t="s">
        <v>84</v>
      </c>
      <c r="D39" s="0" t="s">
        <v>85</v>
      </c>
      <c r="E39" s="0" t="n">
        <v>0.252077</v>
      </c>
      <c r="F39" s="0" t="n">
        <v>0.0641975</v>
      </c>
      <c r="G39" s="0" t="n">
        <v>8.615939E-005</v>
      </c>
      <c r="H39" s="0" t="n">
        <v>0.01757575</v>
      </c>
      <c r="I39" s="0" t="n">
        <v>20</v>
      </c>
    </row>
    <row r="40" customFormat="false" ht="15" hidden="false" customHeight="false" outlineLevel="0" collapsed="false">
      <c r="A40" s="0" t="s">
        <v>17</v>
      </c>
      <c r="B40" s="0" t="s">
        <v>86</v>
      </c>
      <c r="C40" s="0" t="s">
        <v>87</v>
      </c>
      <c r="D40" s="0" t="s">
        <v>88</v>
      </c>
      <c r="E40" s="0" t="n">
        <v>0.3259</v>
      </c>
      <c r="F40" s="0" t="n">
        <v>0.0832839</v>
      </c>
      <c r="G40" s="0" t="n">
        <v>9.110938E-005</v>
      </c>
      <c r="H40" s="0" t="n">
        <v>0.0913346</v>
      </c>
      <c r="I40" s="0" t="n">
        <v>20</v>
      </c>
    </row>
    <row r="41" customFormat="false" ht="15" hidden="false" customHeight="false" outlineLevel="0" collapsed="false">
      <c r="A41" s="0" t="s">
        <v>9</v>
      </c>
      <c r="B41" s="0" t="s">
        <v>89</v>
      </c>
      <c r="C41" s="0" t="s">
        <v>90</v>
      </c>
      <c r="D41" s="0" t="s">
        <v>91</v>
      </c>
      <c r="E41" s="0" t="n">
        <v>0.277916</v>
      </c>
      <c r="F41" s="0" t="n">
        <v>0.07232</v>
      </c>
      <c r="G41" s="0" t="n">
        <v>0.0001216059</v>
      </c>
      <c r="H41" s="0" t="n">
        <v>0.04046325</v>
      </c>
      <c r="I41" s="0" t="n">
        <v>20</v>
      </c>
    </row>
    <row r="42" customFormat="false" ht="15" hidden="false" customHeight="false" outlineLevel="0" collapsed="false">
      <c r="A42" s="0" t="s">
        <v>13</v>
      </c>
      <c r="B42" s="0" t="s">
        <v>29</v>
      </c>
      <c r="C42" s="0" t="s">
        <v>30</v>
      </c>
      <c r="D42" s="0" t="s">
        <v>31</v>
      </c>
      <c r="E42" s="0" t="n">
        <v>0.0663056</v>
      </c>
      <c r="F42" s="0" t="n">
        <v>0.0172933</v>
      </c>
      <c r="G42" s="0" t="n">
        <v>0.0001259784</v>
      </c>
      <c r="H42" s="0" t="n">
        <v>0.8455625</v>
      </c>
      <c r="I42" s="0" t="n">
        <v>20</v>
      </c>
    </row>
    <row r="43" customFormat="false" ht="15" hidden="false" customHeight="false" outlineLevel="0" collapsed="false">
      <c r="A43" s="0" t="s">
        <v>13</v>
      </c>
      <c r="B43" s="0" t="s">
        <v>92</v>
      </c>
      <c r="C43" s="0" t="s">
        <v>93</v>
      </c>
      <c r="D43" s="0" t="s">
        <v>94</v>
      </c>
      <c r="E43" s="0" t="n">
        <v>-0.229202</v>
      </c>
      <c r="F43" s="0" t="n">
        <v>0.0601565</v>
      </c>
      <c r="G43" s="0" t="n">
        <v>0.0001389156</v>
      </c>
      <c r="H43" s="0" t="n">
        <v>0.08932724</v>
      </c>
      <c r="I43" s="0" t="n">
        <v>20</v>
      </c>
    </row>
  </sheetData>
  <autoFilter ref="A1:I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customFormat="false" ht="15" hidden="false" customHeight="false" outlineLevel="0" collapsed="false">
      <c r="A2" s="0" t="s">
        <v>9</v>
      </c>
      <c r="B2" s="0" t="s">
        <v>103</v>
      </c>
      <c r="C2" s="0" t="n">
        <v>1473</v>
      </c>
      <c r="D2" s="0" t="n">
        <v>0.003996004</v>
      </c>
      <c r="E2" s="0" t="n">
        <v>3.3267078</v>
      </c>
      <c r="F2" s="0" t="n">
        <v>0.18081918</v>
      </c>
      <c r="G2" s="0" t="s">
        <v>104</v>
      </c>
      <c r="H2" s="0" t="n">
        <v>0.023976024</v>
      </c>
    </row>
    <row r="3" customFormat="false" ht="15" hidden="false" customHeight="false" outlineLevel="0" collapsed="false">
      <c r="A3" s="0" t="s">
        <v>9</v>
      </c>
      <c r="B3" s="0" t="s">
        <v>105</v>
      </c>
      <c r="C3" s="0" t="n">
        <v>1473</v>
      </c>
      <c r="D3" s="0" t="n">
        <v>0.003996004</v>
      </c>
      <c r="E3" s="0" t="n">
        <v>3.3267078</v>
      </c>
      <c r="F3" s="0" t="n">
        <v>0.18081918</v>
      </c>
      <c r="G3" s="0" t="s">
        <v>96</v>
      </c>
      <c r="H3" s="0" t="n">
        <v>0.023976024</v>
      </c>
    </row>
    <row r="4" customFormat="false" ht="15" hidden="false" customHeight="false" outlineLevel="0" collapsed="false">
      <c r="A4" s="0" t="s">
        <v>9</v>
      </c>
      <c r="B4" s="0" t="s">
        <v>106</v>
      </c>
      <c r="C4" s="0" t="n">
        <v>601</v>
      </c>
      <c r="D4" s="0" t="n">
        <v>0.0939061</v>
      </c>
      <c r="E4" s="0" t="n">
        <v>1.4115942</v>
      </c>
      <c r="F4" s="0" t="n">
        <v>0.24275725</v>
      </c>
      <c r="G4" s="0" t="s">
        <v>104</v>
      </c>
      <c r="H4" s="0" t="n">
        <v>0.26173828</v>
      </c>
    </row>
    <row r="5" customFormat="false" ht="15" hidden="false" customHeight="false" outlineLevel="0" collapsed="false">
      <c r="A5" s="0" t="s">
        <v>9</v>
      </c>
      <c r="B5" s="0" t="s">
        <v>107</v>
      </c>
      <c r="C5" s="0" t="n">
        <v>601</v>
      </c>
      <c r="D5" s="0" t="n">
        <v>0.0939061</v>
      </c>
      <c r="E5" s="0" t="n">
        <v>1.4115942</v>
      </c>
      <c r="F5" s="0" t="n">
        <v>0.24275725</v>
      </c>
      <c r="G5" s="0" t="s">
        <v>96</v>
      </c>
      <c r="H5" s="0" t="n">
        <v>0.26173828</v>
      </c>
    </row>
    <row r="6" customFormat="false" ht="15" hidden="false" customHeight="false" outlineLevel="0" collapsed="false">
      <c r="A6" s="0" t="s">
        <v>9</v>
      </c>
      <c r="B6" s="0" t="s">
        <v>108</v>
      </c>
      <c r="C6" s="0" t="n">
        <v>4623</v>
      </c>
      <c r="D6" s="0" t="n">
        <v>0.13086914</v>
      </c>
      <c r="E6" s="0" t="n">
        <v>1.1410154</v>
      </c>
      <c r="F6" s="0" t="n">
        <v>0.2747253</v>
      </c>
      <c r="G6" s="0" t="s">
        <v>104</v>
      </c>
      <c r="H6" s="0" t="n">
        <v>0.26173828</v>
      </c>
    </row>
    <row r="7" customFormat="false" ht="15" hidden="false" customHeight="false" outlineLevel="0" collapsed="false">
      <c r="A7" s="0" t="s">
        <v>9</v>
      </c>
      <c r="B7" s="0" t="s">
        <v>109</v>
      </c>
      <c r="C7" s="0" t="n">
        <v>4623</v>
      </c>
      <c r="D7" s="0" t="n">
        <v>0.13086914</v>
      </c>
      <c r="E7" s="0" t="n">
        <v>1.1410154</v>
      </c>
      <c r="F7" s="0" t="n">
        <v>0.2747253</v>
      </c>
      <c r="G7" s="0" t="s">
        <v>96</v>
      </c>
      <c r="H7" s="0" t="n">
        <v>0.26173828</v>
      </c>
    </row>
    <row r="8" customFormat="false" ht="15" hidden="false" customHeight="false" outlineLevel="0" collapsed="false">
      <c r="A8" s="0" t="s">
        <v>9</v>
      </c>
      <c r="B8" s="0" t="s">
        <v>110</v>
      </c>
      <c r="C8" s="0" t="n">
        <v>4339</v>
      </c>
      <c r="D8" s="0" t="n">
        <v>0.22477522</v>
      </c>
      <c r="E8" s="0" t="n">
        <v>0.7577718</v>
      </c>
      <c r="F8" s="0" t="n">
        <v>0.71628374</v>
      </c>
      <c r="G8" s="0" t="s">
        <v>104</v>
      </c>
      <c r="H8" s="0" t="n">
        <v>0.33716283</v>
      </c>
    </row>
    <row r="9" customFormat="false" ht="15" hidden="false" customHeight="false" outlineLevel="0" collapsed="false">
      <c r="A9" s="0" t="s">
        <v>9</v>
      </c>
      <c r="B9" s="0" t="s">
        <v>111</v>
      </c>
      <c r="C9" s="0" t="n">
        <v>4339</v>
      </c>
      <c r="D9" s="0" t="n">
        <v>0.22477522</v>
      </c>
      <c r="E9" s="0" t="n">
        <v>0.7577718</v>
      </c>
      <c r="F9" s="0" t="n">
        <v>0.71628374</v>
      </c>
      <c r="G9" s="0" t="s">
        <v>96</v>
      </c>
      <c r="H9" s="0" t="n">
        <v>0.33716283</v>
      </c>
    </row>
    <row r="10" customFormat="false" ht="15" hidden="false" customHeight="false" outlineLevel="0" collapsed="false">
      <c r="A10" s="0" t="s">
        <v>9</v>
      </c>
      <c r="B10" s="0" t="s">
        <v>112</v>
      </c>
      <c r="C10" s="0" t="n">
        <v>8012</v>
      </c>
      <c r="D10" s="0" t="n">
        <v>0.5074925</v>
      </c>
      <c r="E10" s="0" t="n">
        <v>-0.014435767</v>
      </c>
      <c r="F10" s="0" t="n">
        <v>0.13586414</v>
      </c>
      <c r="G10" s="0" t="s">
        <v>104</v>
      </c>
      <c r="H10" s="0" t="n">
        <v>0.608991</v>
      </c>
    </row>
    <row r="11" customFormat="false" ht="15" hidden="false" customHeight="false" outlineLevel="0" collapsed="false">
      <c r="A11" s="0" t="s">
        <v>9</v>
      </c>
      <c r="B11" s="0" t="s">
        <v>113</v>
      </c>
      <c r="C11" s="0" t="n">
        <v>8012</v>
      </c>
      <c r="D11" s="0" t="n">
        <v>0.5074925</v>
      </c>
      <c r="E11" s="0" t="n">
        <v>-0.014435767</v>
      </c>
      <c r="F11" s="0" t="n">
        <v>0.13586414</v>
      </c>
      <c r="G11" s="0" t="s">
        <v>96</v>
      </c>
      <c r="H11" s="0" t="n">
        <v>0.608991</v>
      </c>
    </row>
    <row r="12" customFormat="false" ht="15" hidden="false" customHeight="false" outlineLevel="0" collapsed="false">
      <c r="A12" s="0" t="s">
        <v>9</v>
      </c>
      <c r="B12" s="0" t="s">
        <v>114</v>
      </c>
      <c r="C12" s="0" t="n">
        <v>951</v>
      </c>
      <c r="D12" s="0" t="n">
        <v>0.7202797</v>
      </c>
      <c r="E12" s="0" t="n">
        <v>-0.6208164</v>
      </c>
      <c r="F12" s="0" t="n">
        <v>0.011988012</v>
      </c>
      <c r="G12" s="0" t="s">
        <v>104</v>
      </c>
      <c r="H12" s="0" t="n">
        <v>0.7202797</v>
      </c>
    </row>
    <row r="13" customFormat="false" ht="15" hidden="false" customHeight="false" outlineLevel="0" collapsed="false">
      <c r="A13" s="0" t="s">
        <v>9</v>
      </c>
      <c r="B13" s="0" t="s">
        <v>115</v>
      </c>
      <c r="C13" s="0" t="n">
        <v>951</v>
      </c>
      <c r="D13" s="0" t="n">
        <v>0.7202797</v>
      </c>
      <c r="E13" s="0" t="n">
        <v>-0.6208164</v>
      </c>
      <c r="F13" s="0" t="n">
        <v>0.011988012</v>
      </c>
      <c r="G13" s="0" t="s">
        <v>96</v>
      </c>
      <c r="H13" s="0" t="n">
        <v>0.7202797</v>
      </c>
    </row>
    <row r="14" customFormat="false" ht="15" hidden="false" customHeight="false" outlineLevel="0" collapsed="false">
      <c r="A14" s="0" t="s">
        <v>13</v>
      </c>
      <c r="B14" s="0" t="s">
        <v>103</v>
      </c>
      <c r="C14" s="0" t="n">
        <v>1473</v>
      </c>
      <c r="D14" s="0" t="n">
        <v>0.003996004</v>
      </c>
      <c r="E14" s="0" t="n">
        <v>2.6624362</v>
      </c>
      <c r="F14" s="0" t="n">
        <v>0.03996004</v>
      </c>
      <c r="G14" s="0" t="s">
        <v>104</v>
      </c>
      <c r="H14" s="0" t="n">
        <v>0.023976024</v>
      </c>
    </row>
    <row r="15" customFormat="false" ht="15" hidden="false" customHeight="false" outlineLevel="0" collapsed="false">
      <c r="A15" s="0" t="s">
        <v>13</v>
      </c>
      <c r="B15" s="0" t="s">
        <v>105</v>
      </c>
      <c r="C15" s="0" t="n">
        <v>1473</v>
      </c>
      <c r="D15" s="0" t="n">
        <v>0.003996004</v>
      </c>
      <c r="E15" s="0" t="n">
        <v>2.6624362</v>
      </c>
      <c r="F15" s="0" t="n">
        <v>0.03996004</v>
      </c>
      <c r="G15" s="0" t="s">
        <v>96</v>
      </c>
      <c r="H15" s="0" t="n">
        <v>0.023976024</v>
      </c>
    </row>
    <row r="16" customFormat="false" ht="15" hidden="false" customHeight="false" outlineLevel="0" collapsed="false">
      <c r="A16" s="0" t="s">
        <v>13</v>
      </c>
      <c r="B16" s="0" t="s">
        <v>106</v>
      </c>
      <c r="C16" s="0" t="n">
        <v>601</v>
      </c>
      <c r="D16" s="0" t="n">
        <v>0.050949052</v>
      </c>
      <c r="E16" s="0" t="n">
        <v>1.5892552</v>
      </c>
      <c r="F16" s="0" t="n">
        <v>0.0999001</v>
      </c>
      <c r="G16" s="0" t="s">
        <v>104</v>
      </c>
      <c r="H16" s="0" t="n">
        <v>0.152847156</v>
      </c>
    </row>
    <row r="17" customFormat="false" ht="15" hidden="false" customHeight="false" outlineLevel="0" collapsed="false">
      <c r="A17" s="0" t="s">
        <v>13</v>
      </c>
      <c r="B17" s="0" t="s">
        <v>107</v>
      </c>
      <c r="C17" s="0" t="n">
        <v>601</v>
      </c>
      <c r="D17" s="0" t="n">
        <v>0.050949052</v>
      </c>
      <c r="E17" s="0" t="n">
        <v>1.5892552</v>
      </c>
      <c r="F17" s="0" t="n">
        <v>0.0999001</v>
      </c>
      <c r="G17" s="0" t="s">
        <v>96</v>
      </c>
      <c r="H17" s="0" t="n">
        <v>0.152847156</v>
      </c>
    </row>
    <row r="18" customFormat="false" ht="15" hidden="false" customHeight="false" outlineLevel="0" collapsed="false">
      <c r="A18" s="0" t="s">
        <v>13</v>
      </c>
      <c r="B18" s="0" t="s">
        <v>108</v>
      </c>
      <c r="C18" s="0" t="n">
        <v>4623</v>
      </c>
      <c r="D18" s="0" t="n">
        <v>0.25774226</v>
      </c>
      <c r="E18" s="0" t="n">
        <v>0.6344219</v>
      </c>
      <c r="F18" s="0" t="n">
        <v>0.2937063</v>
      </c>
      <c r="G18" s="0" t="s">
        <v>104</v>
      </c>
      <c r="H18" s="0" t="n">
        <v>0.49510488</v>
      </c>
    </row>
    <row r="19" customFormat="false" ht="15" hidden="false" customHeight="false" outlineLevel="0" collapsed="false">
      <c r="A19" s="0" t="s">
        <v>13</v>
      </c>
      <c r="B19" s="0" t="s">
        <v>109</v>
      </c>
      <c r="C19" s="0" t="n">
        <v>4623</v>
      </c>
      <c r="D19" s="0" t="n">
        <v>0.25774226</v>
      </c>
      <c r="E19" s="0" t="n">
        <v>0.6344219</v>
      </c>
      <c r="F19" s="0" t="n">
        <v>0.2937063</v>
      </c>
      <c r="G19" s="0" t="s">
        <v>96</v>
      </c>
      <c r="H19" s="0" t="n">
        <v>0.49510488</v>
      </c>
    </row>
    <row r="20" customFormat="false" ht="15" hidden="false" customHeight="false" outlineLevel="0" collapsed="false">
      <c r="A20" s="0" t="s">
        <v>13</v>
      </c>
      <c r="B20" s="0" t="s">
        <v>110</v>
      </c>
      <c r="C20" s="0" t="n">
        <v>4339</v>
      </c>
      <c r="D20" s="0" t="n">
        <v>0.40959042</v>
      </c>
      <c r="E20" s="0" t="n">
        <v>0.1901086</v>
      </c>
      <c r="F20" s="0" t="n">
        <v>0.9010989</v>
      </c>
      <c r="G20" s="0" t="s">
        <v>104</v>
      </c>
      <c r="H20" s="0" t="n">
        <v>0.49510488</v>
      </c>
    </row>
    <row r="21" customFormat="false" ht="15" hidden="false" customHeight="false" outlineLevel="0" collapsed="false">
      <c r="A21" s="0" t="s">
        <v>13</v>
      </c>
      <c r="B21" s="0" t="s">
        <v>111</v>
      </c>
      <c r="C21" s="0" t="n">
        <v>4339</v>
      </c>
      <c r="D21" s="0" t="n">
        <v>0.40959042</v>
      </c>
      <c r="E21" s="0" t="n">
        <v>0.1901086</v>
      </c>
      <c r="F21" s="0" t="n">
        <v>0.9010989</v>
      </c>
      <c r="G21" s="0" t="s">
        <v>96</v>
      </c>
      <c r="H21" s="0" t="n">
        <v>0.49510488</v>
      </c>
    </row>
    <row r="22" customFormat="false" ht="15" hidden="false" customHeight="false" outlineLevel="0" collapsed="false">
      <c r="A22" s="0" t="s">
        <v>13</v>
      </c>
      <c r="B22" s="0" t="s">
        <v>112</v>
      </c>
      <c r="C22" s="0" t="n">
        <v>8012</v>
      </c>
      <c r="D22" s="0" t="n">
        <v>0.4125874</v>
      </c>
      <c r="E22" s="0" t="n">
        <v>0.19726202</v>
      </c>
      <c r="F22" s="0" t="n">
        <v>0.16283716</v>
      </c>
      <c r="G22" s="0" t="s">
        <v>104</v>
      </c>
      <c r="H22" s="0" t="n">
        <v>0.49510488</v>
      </c>
    </row>
    <row r="23" customFormat="false" ht="15" hidden="false" customHeight="false" outlineLevel="0" collapsed="false">
      <c r="A23" s="0" t="s">
        <v>13</v>
      </c>
      <c r="B23" s="0" t="s">
        <v>113</v>
      </c>
      <c r="C23" s="0" t="n">
        <v>8012</v>
      </c>
      <c r="D23" s="0" t="n">
        <v>0.4125874</v>
      </c>
      <c r="E23" s="0" t="n">
        <v>0.19726202</v>
      </c>
      <c r="F23" s="0" t="n">
        <v>0.16283716</v>
      </c>
      <c r="G23" s="0" t="s">
        <v>96</v>
      </c>
      <c r="H23" s="0" t="n">
        <v>0.49510488</v>
      </c>
    </row>
    <row r="24" customFormat="false" ht="15" hidden="false" customHeight="false" outlineLevel="0" collapsed="false">
      <c r="A24" s="0" t="s">
        <v>13</v>
      </c>
      <c r="B24" s="0" t="s">
        <v>114</v>
      </c>
      <c r="C24" s="0" t="n">
        <v>951</v>
      </c>
      <c r="D24" s="0" t="n">
        <v>0.98301697</v>
      </c>
      <c r="E24" s="0" t="n">
        <v>-1.9479</v>
      </c>
      <c r="F24" s="0" t="n">
        <v>0.06993007</v>
      </c>
      <c r="G24" s="0" t="s">
        <v>104</v>
      </c>
      <c r="H24" s="0" t="n">
        <v>0.98301697</v>
      </c>
    </row>
    <row r="25" customFormat="false" ht="15" hidden="false" customHeight="false" outlineLevel="0" collapsed="false">
      <c r="A25" s="0" t="s">
        <v>13</v>
      </c>
      <c r="B25" s="0" t="s">
        <v>115</v>
      </c>
      <c r="C25" s="0" t="n">
        <v>951</v>
      </c>
      <c r="D25" s="0" t="n">
        <v>0.98301697</v>
      </c>
      <c r="E25" s="0" t="n">
        <v>-1.9479</v>
      </c>
      <c r="F25" s="0" t="n">
        <v>0.06993007</v>
      </c>
      <c r="G25" s="0" t="s">
        <v>96</v>
      </c>
      <c r="H25" s="0" t="n">
        <v>0.98301697</v>
      </c>
    </row>
    <row r="26" customFormat="false" ht="15" hidden="false" customHeight="false" outlineLevel="0" collapsed="false">
      <c r="A26" s="0" t="s">
        <v>116</v>
      </c>
      <c r="B26" s="0" t="s">
        <v>103</v>
      </c>
      <c r="C26" s="0" t="n">
        <v>1473</v>
      </c>
      <c r="D26" s="0" t="n">
        <v>0.003996004</v>
      </c>
      <c r="E26" s="0" t="n">
        <v>2.8022132</v>
      </c>
      <c r="F26" s="0" t="n">
        <v>0.032967035</v>
      </c>
      <c r="G26" s="0" t="s">
        <v>104</v>
      </c>
      <c r="H26" s="0" t="n">
        <v>0.023976024</v>
      </c>
    </row>
    <row r="27" customFormat="false" ht="15" hidden="false" customHeight="false" outlineLevel="0" collapsed="false">
      <c r="A27" s="0" t="s">
        <v>116</v>
      </c>
      <c r="B27" s="0" t="s">
        <v>105</v>
      </c>
      <c r="C27" s="0" t="n">
        <v>1473</v>
      </c>
      <c r="D27" s="0" t="n">
        <v>0.003996004</v>
      </c>
      <c r="E27" s="0" t="n">
        <v>2.8022132</v>
      </c>
      <c r="F27" s="0" t="n">
        <v>0.032967035</v>
      </c>
      <c r="G27" s="0" t="s">
        <v>96</v>
      </c>
      <c r="H27" s="0" t="n">
        <v>0.023976024</v>
      </c>
    </row>
    <row r="28" customFormat="false" ht="15" hidden="false" customHeight="false" outlineLevel="0" collapsed="false">
      <c r="A28" s="0" t="s">
        <v>116</v>
      </c>
      <c r="B28" s="0" t="s">
        <v>108</v>
      </c>
      <c r="C28" s="0" t="n">
        <v>4623</v>
      </c>
      <c r="D28" s="0" t="n">
        <v>0.023976024</v>
      </c>
      <c r="E28" s="0" t="n">
        <v>1.9117693</v>
      </c>
      <c r="F28" s="0" t="n">
        <v>0.38061938</v>
      </c>
      <c r="G28" s="0" t="s">
        <v>104</v>
      </c>
      <c r="H28" s="0" t="n">
        <v>0.055944056</v>
      </c>
    </row>
    <row r="29" customFormat="false" ht="15" hidden="false" customHeight="false" outlineLevel="0" collapsed="false">
      <c r="A29" s="0" t="s">
        <v>116</v>
      </c>
      <c r="B29" s="0" t="s">
        <v>109</v>
      </c>
      <c r="C29" s="0" t="n">
        <v>4623</v>
      </c>
      <c r="D29" s="0" t="n">
        <v>0.023976024</v>
      </c>
      <c r="E29" s="0" t="n">
        <v>1.9117693</v>
      </c>
      <c r="F29" s="0" t="n">
        <v>0.38061938</v>
      </c>
      <c r="G29" s="0" t="s">
        <v>96</v>
      </c>
      <c r="H29" s="0" t="n">
        <v>0.055944056</v>
      </c>
    </row>
    <row r="30" customFormat="false" ht="15" hidden="false" customHeight="false" outlineLevel="0" collapsed="false">
      <c r="A30" s="0" t="s">
        <v>116</v>
      </c>
      <c r="B30" s="0" t="s">
        <v>114</v>
      </c>
      <c r="C30" s="0" t="n">
        <v>951</v>
      </c>
      <c r="D30" s="0" t="n">
        <v>0.027972028</v>
      </c>
      <c r="E30" s="0" t="n">
        <v>1.9919435</v>
      </c>
      <c r="F30" s="0" t="n">
        <v>0.044955045</v>
      </c>
      <c r="G30" s="0" t="s">
        <v>104</v>
      </c>
      <c r="H30" s="0" t="n">
        <v>0.055944056</v>
      </c>
    </row>
    <row r="31" customFormat="false" ht="15" hidden="false" customHeight="false" outlineLevel="0" collapsed="false">
      <c r="A31" s="0" t="s">
        <v>116</v>
      </c>
      <c r="B31" s="0" t="s">
        <v>115</v>
      </c>
      <c r="C31" s="0" t="n">
        <v>951</v>
      </c>
      <c r="D31" s="0" t="n">
        <v>0.027972028</v>
      </c>
      <c r="E31" s="0" t="n">
        <v>1.9919435</v>
      </c>
      <c r="F31" s="0" t="n">
        <v>0.044955045</v>
      </c>
      <c r="G31" s="0" t="s">
        <v>96</v>
      </c>
      <c r="H31" s="0" t="n">
        <v>0.055944056</v>
      </c>
    </row>
    <row r="32" customFormat="false" ht="15" hidden="false" customHeight="false" outlineLevel="0" collapsed="false">
      <c r="A32" s="0" t="s">
        <v>116</v>
      </c>
      <c r="B32" s="0" t="s">
        <v>106</v>
      </c>
      <c r="C32" s="0" t="n">
        <v>601</v>
      </c>
      <c r="D32" s="0" t="n">
        <v>0.44455543</v>
      </c>
      <c r="E32" s="0" t="n">
        <v>0.10887315</v>
      </c>
      <c r="F32" s="0" t="n">
        <v>0.16783217</v>
      </c>
      <c r="G32" s="0" t="s">
        <v>104</v>
      </c>
      <c r="H32" s="0" t="n">
        <v>0.666833145</v>
      </c>
    </row>
    <row r="33" customFormat="false" ht="15" hidden="false" customHeight="false" outlineLevel="0" collapsed="false">
      <c r="A33" s="0" t="s">
        <v>116</v>
      </c>
      <c r="B33" s="0" t="s">
        <v>107</v>
      </c>
      <c r="C33" s="0" t="n">
        <v>601</v>
      </c>
      <c r="D33" s="0" t="n">
        <v>0.44455543</v>
      </c>
      <c r="E33" s="0" t="n">
        <v>0.10887315</v>
      </c>
      <c r="F33" s="0" t="n">
        <v>0.16783217</v>
      </c>
      <c r="G33" s="0" t="s">
        <v>96</v>
      </c>
      <c r="H33" s="0" t="n">
        <v>0.666833145</v>
      </c>
    </row>
    <row r="34" customFormat="false" ht="15" hidden="false" customHeight="false" outlineLevel="0" collapsed="false">
      <c r="A34" s="0" t="s">
        <v>116</v>
      </c>
      <c r="B34" s="0" t="s">
        <v>110</v>
      </c>
      <c r="C34" s="0" t="n">
        <v>4339</v>
      </c>
      <c r="D34" s="0" t="n">
        <v>0.62237763</v>
      </c>
      <c r="E34" s="0" t="n">
        <v>-0.33472502</v>
      </c>
      <c r="F34" s="0" t="n">
        <v>0.2837163</v>
      </c>
      <c r="G34" s="0" t="s">
        <v>104</v>
      </c>
      <c r="H34" s="0" t="n">
        <v>0.746853156</v>
      </c>
    </row>
    <row r="35" customFormat="false" ht="15" hidden="false" customHeight="false" outlineLevel="0" collapsed="false">
      <c r="A35" s="0" t="s">
        <v>116</v>
      </c>
      <c r="B35" s="0" t="s">
        <v>111</v>
      </c>
      <c r="C35" s="0" t="n">
        <v>4339</v>
      </c>
      <c r="D35" s="0" t="n">
        <v>0.62237763</v>
      </c>
      <c r="E35" s="0" t="n">
        <v>-0.33472502</v>
      </c>
      <c r="F35" s="0" t="n">
        <v>0.2837163</v>
      </c>
      <c r="G35" s="0" t="s">
        <v>96</v>
      </c>
      <c r="H35" s="0" t="n">
        <v>0.746853156</v>
      </c>
    </row>
    <row r="36" customFormat="false" ht="15" hidden="false" customHeight="false" outlineLevel="0" collapsed="false">
      <c r="A36" s="0" t="s">
        <v>116</v>
      </c>
      <c r="B36" s="0" t="s">
        <v>112</v>
      </c>
      <c r="C36" s="0" t="n">
        <v>8012</v>
      </c>
      <c r="D36" s="0" t="n">
        <v>0.9050949</v>
      </c>
      <c r="E36" s="0" t="n">
        <v>-1.35467</v>
      </c>
      <c r="F36" s="0" t="n">
        <v>0.5334665</v>
      </c>
      <c r="G36" s="0" t="s">
        <v>104</v>
      </c>
      <c r="H36" s="0" t="n">
        <v>0.9050949</v>
      </c>
    </row>
    <row r="37" customFormat="false" ht="15" hidden="false" customHeight="false" outlineLevel="0" collapsed="false">
      <c r="A37" s="0" t="s">
        <v>116</v>
      </c>
      <c r="B37" s="0" t="s">
        <v>113</v>
      </c>
      <c r="C37" s="0" t="n">
        <v>8012</v>
      </c>
      <c r="D37" s="0" t="n">
        <v>0.9050949</v>
      </c>
      <c r="E37" s="0" t="n">
        <v>-1.35467</v>
      </c>
      <c r="F37" s="0" t="n">
        <v>0.5334665</v>
      </c>
      <c r="G37" s="0" t="s">
        <v>96</v>
      </c>
      <c r="H37" s="0" t="n">
        <v>0.9050949</v>
      </c>
    </row>
    <row r="38" customFormat="false" ht="15" hidden="false" customHeight="false" outlineLevel="0" collapsed="false">
      <c r="A38" s="0" t="s">
        <v>117</v>
      </c>
      <c r="B38" s="0" t="s">
        <v>103</v>
      </c>
      <c r="C38" s="0" t="n">
        <v>1473</v>
      </c>
      <c r="D38" s="0" t="n">
        <v>0.000999001</v>
      </c>
      <c r="E38" s="0" t="n">
        <v>3.383591</v>
      </c>
      <c r="F38" s="0" t="n">
        <v>0.51648355</v>
      </c>
      <c r="G38" s="0" t="s">
        <v>104</v>
      </c>
      <c r="H38" s="0" t="n">
        <v>0.005994006</v>
      </c>
    </row>
    <row r="39" customFormat="false" ht="15" hidden="false" customHeight="false" outlineLevel="0" collapsed="false">
      <c r="A39" s="0" t="s">
        <v>117</v>
      </c>
      <c r="B39" s="0" t="s">
        <v>105</v>
      </c>
      <c r="C39" s="0" t="n">
        <v>1473</v>
      </c>
      <c r="D39" s="0" t="n">
        <v>0.000999001</v>
      </c>
      <c r="E39" s="0" t="n">
        <v>3.383591</v>
      </c>
      <c r="F39" s="0" t="n">
        <v>0.51648355</v>
      </c>
      <c r="G39" s="0" t="s">
        <v>96</v>
      </c>
      <c r="H39" s="0" t="n">
        <v>0.005994006</v>
      </c>
    </row>
    <row r="40" customFormat="false" ht="15" hidden="false" customHeight="false" outlineLevel="0" collapsed="false">
      <c r="A40" s="0" t="s">
        <v>117</v>
      </c>
      <c r="B40" s="0" t="s">
        <v>112</v>
      </c>
      <c r="C40" s="0" t="n">
        <v>8012</v>
      </c>
      <c r="D40" s="0" t="n">
        <v>0.013986014</v>
      </c>
      <c r="E40" s="0" t="n">
        <v>2.2252</v>
      </c>
      <c r="F40" s="0" t="n">
        <v>0.14785215</v>
      </c>
      <c r="G40" s="0" t="s">
        <v>104</v>
      </c>
      <c r="H40" s="0" t="n">
        <v>0.041958042</v>
      </c>
    </row>
    <row r="41" customFormat="false" ht="15" hidden="false" customHeight="false" outlineLevel="0" collapsed="false">
      <c r="A41" s="0" t="s">
        <v>117</v>
      </c>
      <c r="B41" s="0" t="s">
        <v>113</v>
      </c>
      <c r="C41" s="0" t="n">
        <v>8012</v>
      </c>
      <c r="D41" s="0" t="n">
        <v>0.013986014</v>
      </c>
      <c r="E41" s="0" t="n">
        <v>2.2252</v>
      </c>
      <c r="F41" s="0" t="n">
        <v>0.14785215</v>
      </c>
      <c r="G41" s="0" t="s">
        <v>96</v>
      </c>
      <c r="H41" s="0" t="n">
        <v>0.041958042</v>
      </c>
    </row>
    <row r="42" customFormat="false" ht="15" hidden="false" customHeight="false" outlineLevel="0" collapsed="false">
      <c r="A42" s="0" t="s">
        <v>117</v>
      </c>
      <c r="B42" s="0" t="s">
        <v>114</v>
      </c>
      <c r="C42" s="0" t="n">
        <v>951</v>
      </c>
      <c r="D42" s="0" t="n">
        <v>0.14185815</v>
      </c>
      <c r="E42" s="0" t="n">
        <v>1.0853652</v>
      </c>
      <c r="F42" s="0" t="n">
        <v>0.013986014</v>
      </c>
      <c r="G42" s="0" t="s">
        <v>104</v>
      </c>
      <c r="H42" s="0" t="n">
        <v>0.2837163</v>
      </c>
    </row>
    <row r="43" customFormat="false" ht="15" hidden="false" customHeight="false" outlineLevel="0" collapsed="false">
      <c r="A43" s="0" t="s">
        <v>117</v>
      </c>
      <c r="B43" s="0" t="s">
        <v>115</v>
      </c>
      <c r="C43" s="0" t="n">
        <v>951</v>
      </c>
      <c r="D43" s="0" t="n">
        <v>0.14185815</v>
      </c>
      <c r="E43" s="0" t="n">
        <v>1.0853652</v>
      </c>
      <c r="F43" s="0" t="n">
        <v>0.013986014</v>
      </c>
      <c r="G43" s="0" t="s">
        <v>96</v>
      </c>
      <c r="H43" s="0" t="n">
        <v>0.2837163</v>
      </c>
    </row>
    <row r="44" customFormat="false" ht="15" hidden="false" customHeight="false" outlineLevel="0" collapsed="false">
      <c r="A44" s="0" t="s">
        <v>117</v>
      </c>
      <c r="B44" s="0" t="s">
        <v>106</v>
      </c>
      <c r="C44" s="0" t="n">
        <v>601</v>
      </c>
      <c r="D44" s="0" t="n">
        <v>0.57542455</v>
      </c>
      <c r="E44" s="0" t="n">
        <v>-0.17699982</v>
      </c>
      <c r="F44" s="0" t="n">
        <v>0.015984016</v>
      </c>
      <c r="G44" s="0" t="s">
        <v>104</v>
      </c>
      <c r="H44" s="0" t="n">
        <v>0.863136825</v>
      </c>
    </row>
    <row r="45" customFormat="false" ht="15" hidden="false" customHeight="false" outlineLevel="0" collapsed="false">
      <c r="A45" s="0" t="s">
        <v>117</v>
      </c>
      <c r="B45" s="0" t="s">
        <v>107</v>
      </c>
      <c r="C45" s="0" t="n">
        <v>601</v>
      </c>
      <c r="D45" s="0" t="n">
        <v>0.57542455</v>
      </c>
      <c r="E45" s="0" t="n">
        <v>-0.17699982</v>
      </c>
      <c r="F45" s="0" t="n">
        <v>0.015984016</v>
      </c>
      <c r="G45" s="0" t="s">
        <v>96</v>
      </c>
      <c r="H45" s="0" t="n">
        <v>0.863136825</v>
      </c>
    </row>
    <row r="46" customFormat="false" ht="15" hidden="false" customHeight="false" outlineLevel="0" collapsed="false">
      <c r="A46" s="0" t="s">
        <v>117</v>
      </c>
      <c r="B46" s="0" t="s">
        <v>108</v>
      </c>
      <c r="C46" s="0" t="n">
        <v>4623</v>
      </c>
      <c r="D46" s="0" t="n">
        <v>0.7242757</v>
      </c>
      <c r="E46" s="0" t="n">
        <v>-0.6006853</v>
      </c>
      <c r="F46" s="0" t="n">
        <v>0.044955045</v>
      </c>
      <c r="G46" s="0" t="s">
        <v>104</v>
      </c>
      <c r="H46" s="0" t="n">
        <v>0.86913084</v>
      </c>
    </row>
    <row r="47" customFormat="false" ht="15" hidden="false" customHeight="false" outlineLevel="0" collapsed="false">
      <c r="A47" s="0" t="s">
        <v>117</v>
      </c>
      <c r="B47" s="0" t="s">
        <v>109</v>
      </c>
      <c r="C47" s="0" t="n">
        <v>4623</v>
      </c>
      <c r="D47" s="0" t="n">
        <v>0.7242757</v>
      </c>
      <c r="E47" s="0" t="n">
        <v>-0.6006853</v>
      </c>
      <c r="F47" s="0" t="n">
        <v>0.044955045</v>
      </c>
      <c r="G47" s="0" t="s">
        <v>96</v>
      </c>
      <c r="H47" s="0" t="n">
        <v>0.86913084</v>
      </c>
    </row>
    <row r="48" customFormat="false" ht="15" hidden="false" customHeight="false" outlineLevel="0" collapsed="false">
      <c r="A48" s="0" t="s">
        <v>117</v>
      </c>
      <c r="B48" s="0" t="s">
        <v>110</v>
      </c>
      <c r="C48" s="0" t="n">
        <v>4339</v>
      </c>
      <c r="D48" s="0" t="n">
        <v>0.9300699</v>
      </c>
      <c r="E48" s="0" t="n">
        <v>-1.5479198</v>
      </c>
      <c r="F48" s="0" t="n">
        <v>0.83716285</v>
      </c>
      <c r="G48" s="0" t="s">
        <v>104</v>
      </c>
      <c r="H48" s="0" t="n">
        <v>0.9300699</v>
      </c>
    </row>
    <row r="49" customFormat="false" ht="15" hidden="false" customHeight="false" outlineLevel="0" collapsed="false">
      <c r="A49" s="0" t="s">
        <v>117</v>
      </c>
      <c r="B49" s="0" t="s">
        <v>111</v>
      </c>
      <c r="C49" s="0" t="n">
        <v>4339</v>
      </c>
      <c r="D49" s="0" t="n">
        <v>0.9300699</v>
      </c>
      <c r="E49" s="0" t="n">
        <v>-1.5479198</v>
      </c>
      <c r="F49" s="0" t="n">
        <v>0.83716285</v>
      </c>
      <c r="G49" s="0" t="s">
        <v>96</v>
      </c>
      <c r="H49" s="0" t="n">
        <v>0.9300699</v>
      </c>
    </row>
    <row r="50" customFormat="false" ht="15" hidden="false" customHeight="false" outlineLevel="0" collapsed="false">
      <c r="A50" s="0" t="s">
        <v>118</v>
      </c>
      <c r="B50" s="0" t="s">
        <v>112</v>
      </c>
      <c r="C50" s="0" t="n">
        <v>8012</v>
      </c>
      <c r="D50" s="0" t="n">
        <v>0.004995005</v>
      </c>
      <c r="E50" s="0" t="n">
        <v>2.438043</v>
      </c>
      <c r="F50" s="0" t="n">
        <v>0.027972028</v>
      </c>
      <c r="G50" s="0" t="s">
        <v>104</v>
      </c>
      <c r="H50" s="0" t="n">
        <v>0.02997003</v>
      </c>
    </row>
    <row r="51" customFormat="false" ht="15" hidden="false" customHeight="false" outlineLevel="0" collapsed="false">
      <c r="A51" s="0" t="s">
        <v>118</v>
      </c>
      <c r="B51" s="0" t="s">
        <v>113</v>
      </c>
      <c r="C51" s="0" t="n">
        <v>8012</v>
      </c>
      <c r="D51" s="0" t="n">
        <v>0.004995005</v>
      </c>
      <c r="E51" s="0" t="n">
        <v>2.438043</v>
      </c>
      <c r="F51" s="0" t="n">
        <v>0.027972028</v>
      </c>
      <c r="G51" s="0" t="s">
        <v>96</v>
      </c>
      <c r="H51" s="0" t="n">
        <v>0.02997003</v>
      </c>
    </row>
    <row r="52" customFormat="false" ht="15" hidden="false" customHeight="false" outlineLevel="0" collapsed="false">
      <c r="A52" s="0" t="s">
        <v>118</v>
      </c>
      <c r="B52" s="0" t="s">
        <v>103</v>
      </c>
      <c r="C52" s="0" t="n">
        <v>1473</v>
      </c>
      <c r="D52" s="0" t="n">
        <v>0.11888112</v>
      </c>
      <c r="E52" s="0" t="n">
        <v>1.2248889</v>
      </c>
      <c r="F52" s="0" t="n">
        <v>0.00999001</v>
      </c>
      <c r="G52" s="0" t="s">
        <v>104</v>
      </c>
      <c r="H52" s="0" t="n">
        <v>0.35664336</v>
      </c>
    </row>
    <row r="53" customFormat="false" ht="15" hidden="false" customHeight="false" outlineLevel="0" collapsed="false">
      <c r="A53" s="0" t="s">
        <v>118</v>
      </c>
      <c r="B53" s="0" t="s">
        <v>105</v>
      </c>
      <c r="C53" s="0" t="n">
        <v>1473</v>
      </c>
      <c r="D53" s="0" t="n">
        <v>0.11888112</v>
      </c>
      <c r="E53" s="0" t="n">
        <v>1.2248889</v>
      </c>
      <c r="F53" s="0" t="n">
        <v>0.00999001</v>
      </c>
      <c r="G53" s="0" t="s">
        <v>96</v>
      </c>
      <c r="H53" s="0" t="n">
        <v>0.35664336</v>
      </c>
    </row>
    <row r="54" customFormat="false" ht="15" hidden="false" customHeight="false" outlineLevel="0" collapsed="false">
      <c r="A54" s="0" t="s">
        <v>118</v>
      </c>
      <c r="B54" s="0" t="s">
        <v>114</v>
      </c>
      <c r="C54" s="0" t="n">
        <v>951</v>
      </c>
      <c r="D54" s="0" t="n">
        <v>0.35164836</v>
      </c>
      <c r="E54" s="0" t="n">
        <v>0.3807809</v>
      </c>
      <c r="F54" s="0" t="n">
        <v>0.121878125</v>
      </c>
      <c r="G54" s="0" t="s">
        <v>104</v>
      </c>
      <c r="H54" s="0" t="n">
        <v>0.7012987</v>
      </c>
    </row>
    <row r="55" customFormat="false" ht="15" hidden="false" customHeight="false" outlineLevel="0" collapsed="false">
      <c r="A55" s="0" t="s">
        <v>118</v>
      </c>
      <c r="B55" s="0" t="s">
        <v>115</v>
      </c>
      <c r="C55" s="0" t="n">
        <v>951</v>
      </c>
      <c r="D55" s="0" t="n">
        <v>0.35164836</v>
      </c>
      <c r="E55" s="0" t="n">
        <v>0.3807809</v>
      </c>
      <c r="F55" s="0" t="n">
        <v>0.121878125</v>
      </c>
      <c r="G55" s="0" t="s">
        <v>96</v>
      </c>
      <c r="H55" s="0" t="n">
        <v>0.7012987</v>
      </c>
    </row>
    <row r="56" customFormat="false" ht="15" hidden="false" customHeight="false" outlineLevel="0" collapsed="false">
      <c r="A56" s="0" t="s">
        <v>118</v>
      </c>
      <c r="B56" s="0" t="s">
        <v>108</v>
      </c>
      <c r="C56" s="0" t="n">
        <v>4623</v>
      </c>
      <c r="D56" s="0" t="n">
        <v>0.6293706</v>
      </c>
      <c r="E56" s="0" t="n">
        <v>-0.3558108</v>
      </c>
      <c r="F56" s="0" t="n">
        <v>0.07392608</v>
      </c>
      <c r="G56" s="0" t="s">
        <v>104</v>
      </c>
      <c r="H56" s="0" t="n">
        <v>0.7012987</v>
      </c>
    </row>
    <row r="57" customFormat="false" ht="15" hidden="false" customHeight="false" outlineLevel="0" collapsed="false">
      <c r="A57" s="0" t="s">
        <v>118</v>
      </c>
      <c r="B57" s="0" t="s">
        <v>109</v>
      </c>
      <c r="C57" s="0" t="n">
        <v>4623</v>
      </c>
      <c r="D57" s="0" t="n">
        <v>0.6293706</v>
      </c>
      <c r="E57" s="0" t="n">
        <v>-0.3558108</v>
      </c>
      <c r="F57" s="0" t="n">
        <v>0.07392608</v>
      </c>
      <c r="G57" s="0" t="s">
        <v>96</v>
      </c>
      <c r="H57" s="0" t="n">
        <v>0.7012987</v>
      </c>
    </row>
    <row r="58" customFormat="false" ht="15" hidden="false" customHeight="false" outlineLevel="0" collapsed="false">
      <c r="A58" s="0" t="s">
        <v>118</v>
      </c>
      <c r="B58" s="0" t="s">
        <v>110</v>
      </c>
      <c r="C58" s="0" t="n">
        <v>4339</v>
      </c>
      <c r="D58" s="0" t="n">
        <v>0.67132866</v>
      </c>
      <c r="E58" s="0" t="n">
        <v>-0.47567588</v>
      </c>
      <c r="F58" s="0" t="n">
        <v>0.5294705</v>
      </c>
      <c r="G58" s="0" t="s">
        <v>104</v>
      </c>
      <c r="H58" s="0" t="n">
        <v>0.7012987</v>
      </c>
    </row>
    <row r="59" customFormat="false" ht="15" hidden="false" customHeight="false" outlineLevel="0" collapsed="false">
      <c r="A59" s="0" t="s">
        <v>118</v>
      </c>
      <c r="B59" s="0" t="s">
        <v>111</v>
      </c>
      <c r="C59" s="0" t="n">
        <v>4339</v>
      </c>
      <c r="D59" s="0" t="n">
        <v>0.67132866</v>
      </c>
      <c r="E59" s="0" t="n">
        <v>-0.47567588</v>
      </c>
      <c r="F59" s="0" t="n">
        <v>0.5294705</v>
      </c>
      <c r="G59" s="0" t="s">
        <v>96</v>
      </c>
      <c r="H59" s="0" t="n">
        <v>0.7012987</v>
      </c>
    </row>
    <row r="60" customFormat="false" ht="15" hidden="false" customHeight="false" outlineLevel="0" collapsed="false">
      <c r="A60" s="0" t="s">
        <v>118</v>
      </c>
      <c r="B60" s="0" t="s">
        <v>106</v>
      </c>
      <c r="C60" s="0" t="n">
        <v>601</v>
      </c>
      <c r="D60" s="0" t="n">
        <v>0.7012987</v>
      </c>
      <c r="E60" s="0" t="n">
        <v>-0.5665446</v>
      </c>
      <c r="F60" s="0" t="n">
        <v>0.00999001</v>
      </c>
      <c r="G60" s="0" t="s">
        <v>104</v>
      </c>
      <c r="H60" s="0" t="n">
        <v>0.7012987</v>
      </c>
    </row>
    <row r="61" customFormat="false" ht="15" hidden="false" customHeight="false" outlineLevel="0" collapsed="false">
      <c r="A61" s="0" t="s">
        <v>118</v>
      </c>
      <c r="B61" s="0" t="s">
        <v>107</v>
      </c>
      <c r="C61" s="0" t="n">
        <v>601</v>
      </c>
      <c r="D61" s="0" t="n">
        <v>0.7012987</v>
      </c>
      <c r="E61" s="0" t="n">
        <v>-0.5665446</v>
      </c>
      <c r="F61" s="0" t="n">
        <v>0.00999001</v>
      </c>
      <c r="G61" s="0" t="s">
        <v>96</v>
      </c>
      <c r="H61" s="0" t="n">
        <v>0.7012987</v>
      </c>
    </row>
    <row r="62" customFormat="false" ht="15" hidden="false" customHeight="false" outlineLevel="0" collapsed="false">
      <c r="A62" s="0" t="s">
        <v>119</v>
      </c>
      <c r="B62" s="0" t="s">
        <v>112</v>
      </c>
      <c r="C62" s="0" t="n">
        <v>8012</v>
      </c>
      <c r="D62" s="0" t="n">
        <v>0.022977022</v>
      </c>
      <c r="E62" s="0" t="n">
        <v>2.0586817</v>
      </c>
      <c r="F62" s="0" t="n">
        <v>0.7112887</v>
      </c>
      <c r="G62" s="0" t="s">
        <v>104</v>
      </c>
      <c r="H62" s="0" t="n">
        <v>0.137862132</v>
      </c>
    </row>
    <row r="63" customFormat="false" ht="15" hidden="false" customHeight="false" outlineLevel="0" collapsed="false">
      <c r="A63" s="0" t="s">
        <v>119</v>
      </c>
      <c r="B63" s="0" t="s">
        <v>113</v>
      </c>
      <c r="C63" s="0" t="n">
        <v>8012</v>
      </c>
      <c r="D63" s="0" t="n">
        <v>0.022977022</v>
      </c>
      <c r="E63" s="0" t="n">
        <v>2.0586817</v>
      </c>
      <c r="F63" s="0" t="n">
        <v>0.7112887</v>
      </c>
      <c r="G63" s="0" t="s">
        <v>96</v>
      </c>
      <c r="H63" s="0" t="n">
        <v>0.137862132</v>
      </c>
    </row>
    <row r="64" customFormat="false" ht="15" hidden="false" customHeight="false" outlineLevel="0" collapsed="false">
      <c r="A64" s="0" t="s">
        <v>119</v>
      </c>
      <c r="B64" s="0" t="s">
        <v>103</v>
      </c>
      <c r="C64" s="0" t="n">
        <v>1473</v>
      </c>
      <c r="D64" s="0" t="n">
        <v>0.09490509</v>
      </c>
      <c r="E64" s="0" t="n">
        <v>1.3352363</v>
      </c>
      <c r="F64" s="0" t="n">
        <v>0.14585415</v>
      </c>
      <c r="G64" s="0" t="s">
        <v>104</v>
      </c>
      <c r="H64" s="0" t="n">
        <v>0.28471527</v>
      </c>
    </row>
    <row r="65" customFormat="false" ht="15" hidden="false" customHeight="false" outlineLevel="0" collapsed="false">
      <c r="A65" s="0" t="s">
        <v>119</v>
      </c>
      <c r="B65" s="0" t="s">
        <v>105</v>
      </c>
      <c r="C65" s="0" t="n">
        <v>1473</v>
      </c>
      <c r="D65" s="0" t="n">
        <v>0.09490509</v>
      </c>
      <c r="E65" s="0" t="n">
        <v>1.3352363</v>
      </c>
      <c r="F65" s="0" t="n">
        <v>0.14585415</v>
      </c>
      <c r="G65" s="0" t="s">
        <v>96</v>
      </c>
      <c r="H65" s="0" t="n">
        <v>0.28471527</v>
      </c>
    </row>
    <row r="66" customFormat="false" ht="15" hidden="false" customHeight="false" outlineLevel="0" collapsed="false">
      <c r="A66" s="0" t="s">
        <v>119</v>
      </c>
      <c r="B66" s="0" t="s">
        <v>114</v>
      </c>
      <c r="C66" s="0" t="n">
        <v>951</v>
      </c>
      <c r="D66" s="0" t="n">
        <v>0.14885116</v>
      </c>
      <c r="E66" s="0" t="n">
        <v>1.0420642</v>
      </c>
      <c r="F66" s="0" t="n">
        <v>0.43656343</v>
      </c>
      <c r="G66" s="0" t="s">
        <v>104</v>
      </c>
      <c r="H66" s="0" t="n">
        <v>0.29770232</v>
      </c>
    </row>
    <row r="67" customFormat="false" ht="15" hidden="false" customHeight="false" outlineLevel="0" collapsed="false">
      <c r="A67" s="0" t="s">
        <v>119</v>
      </c>
      <c r="B67" s="0" t="s">
        <v>115</v>
      </c>
      <c r="C67" s="0" t="n">
        <v>951</v>
      </c>
      <c r="D67" s="0" t="n">
        <v>0.14885116</v>
      </c>
      <c r="E67" s="0" t="n">
        <v>1.0420642</v>
      </c>
      <c r="F67" s="0" t="n">
        <v>0.43656343</v>
      </c>
      <c r="G67" s="0" t="s">
        <v>96</v>
      </c>
      <c r="H67" s="0" t="n">
        <v>0.29770232</v>
      </c>
    </row>
    <row r="68" customFormat="false" ht="15" hidden="false" customHeight="false" outlineLevel="0" collapsed="false">
      <c r="A68" s="0" t="s">
        <v>119</v>
      </c>
      <c r="B68" s="0" t="s">
        <v>106</v>
      </c>
      <c r="C68" s="0" t="n">
        <v>601</v>
      </c>
      <c r="D68" s="0" t="n">
        <v>0.66033965</v>
      </c>
      <c r="E68" s="0" t="n">
        <v>-0.4101609</v>
      </c>
      <c r="F68" s="0" t="n">
        <v>0.08691309</v>
      </c>
      <c r="G68" s="0" t="s">
        <v>104</v>
      </c>
      <c r="H68" s="0" t="n">
        <v>0.97002995</v>
      </c>
    </row>
    <row r="69" customFormat="false" ht="15" hidden="false" customHeight="false" outlineLevel="0" collapsed="false">
      <c r="A69" s="0" t="s">
        <v>119</v>
      </c>
      <c r="B69" s="0" t="s">
        <v>107</v>
      </c>
      <c r="C69" s="0" t="n">
        <v>601</v>
      </c>
      <c r="D69" s="0" t="n">
        <v>0.66033965</v>
      </c>
      <c r="E69" s="0" t="n">
        <v>-0.4101609</v>
      </c>
      <c r="F69" s="0" t="n">
        <v>0.08691309</v>
      </c>
      <c r="G69" s="0" t="s">
        <v>96</v>
      </c>
      <c r="H69" s="0" t="n">
        <v>0.97002995</v>
      </c>
    </row>
    <row r="70" customFormat="false" ht="15" hidden="false" customHeight="false" outlineLevel="0" collapsed="false">
      <c r="A70" s="0" t="s">
        <v>119</v>
      </c>
      <c r="B70" s="0" t="s">
        <v>108</v>
      </c>
      <c r="C70" s="0" t="n">
        <v>4623</v>
      </c>
      <c r="D70" s="0" t="n">
        <v>0.9120879</v>
      </c>
      <c r="E70" s="0" t="n">
        <v>-1.4403285</v>
      </c>
      <c r="F70" s="0" t="n">
        <v>0.04795205</v>
      </c>
      <c r="G70" s="0" t="s">
        <v>104</v>
      </c>
      <c r="H70" s="0" t="n">
        <v>0.97002995</v>
      </c>
    </row>
    <row r="71" customFormat="false" ht="15" hidden="false" customHeight="false" outlineLevel="0" collapsed="false">
      <c r="A71" s="0" t="s">
        <v>119</v>
      </c>
      <c r="B71" s="0" t="s">
        <v>109</v>
      </c>
      <c r="C71" s="0" t="n">
        <v>4623</v>
      </c>
      <c r="D71" s="0" t="n">
        <v>0.9120879</v>
      </c>
      <c r="E71" s="0" t="n">
        <v>-1.4403285</v>
      </c>
      <c r="F71" s="0" t="n">
        <v>0.04795205</v>
      </c>
      <c r="G71" s="0" t="s">
        <v>96</v>
      </c>
      <c r="H71" s="0" t="n">
        <v>0.97002995</v>
      </c>
    </row>
    <row r="72" customFormat="false" ht="15" hidden="false" customHeight="false" outlineLevel="0" collapsed="false">
      <c r="A72" s="0" t="s">
        <v>119</v>
      </c>
      <c r="B72" s="0" t="s">
        <v>110</v>
      </c>
      <c r="C72" s="0" t="n">
        <v>4339</v>
      </c>
      <c r="D72" s="0" t="n">
        <v>0.97002995</v>
      </c>
      <c r="E72" s="0" t="n">
        <v>-1.8292041</v>
      </c>
      <c r="F72" s="0" t="n">
        <v>0.21278721</v>
      </c>
      <c r="G72" s="0" t="s">
        <v>104</v>
      </c>
      <c r="H72" s="0" t="n">
        <v>0.97002995</v>
      </c>
    </row>
    <row r="73" customFormat="false" ht="15" hidden="false" customHeight="false" outlineLevel="0" collapsed="false">
      <c r="A73" s="0" t="s">
        <v>119</v>
      </c>
      <c r="B73" s="0" t="s">
        <v>111</v>
      </c>
      <c r="C73" s="0" t="n">
        <v>4339</v>
      </c>
      <c r="D73" s="0" t="n">
        <v>0.97002995</v>
      </c>
      <c r="E73" s="0" t="n">
        <v>-1.8292041</v>
      </c>
      <c r="F73" s="0" t="n">
        <v>0.21278721</v>
      </c>
      <c r="G73" s="0" t="s">
        <v>96</v>
      </c>
      <c r="H73" s="0" t="n">
        <v>0.97002995</v>
      </c>
    </row>
    <row r="74" customFormat="false" ht="15" hidden="false" customHeight="false" outlineLevel="0" collapsed="false">
      <c r="A74" s="0" t="s">
        <v>120</v>
      </c>
      <c r="B74" s="0" t="s">
        <v>103</v>
      </c>
      <c r="C74" s="0" t="n">
        <v>1473</v>
      </c>
      <c r="D74" s="0" t="n">
        <v>0.001998002</v>
      </c>
      <c r="E74" s="0" t="n">
        <v>3.3205097</v>
      </c>
      <c r="F74" s="0" t="n">
        <v>0.43356642</v>
      </c>
      <c r="G74" s="0" t="s">
        <v>104</v>
      </c>
      <c r="H74" s="0" t="n">
        <v>0.011988012</v>
      </c>
    </row>
    <row r="75" customFormat="false" ht="15" hidden="false" customHeight="false" outlineLevel="0" collapsed="false">
      <c r="A75" s="0" t="s">
        <v>120</v>
      </c>
      <c r="B75" s="0" t="s">
        <v>105</v>
      </c>
      <c r="C75" s="0" t="n">
        <v>1473</v>
      </c>
      <c r="D75" s="0" t="n">
        <v>0.001998002</v>
      </c>
      <c r="E75" s="0" t="n">
        <v>3.3205097</v>
      </c>
      <c r="F75" s="0" t="n">
        <v>0.43356642</v>
      </c>
      <c r="G75" s="0" t="s">
        <v>96</v>
      </c>
      <c r="H75" s="0" t="n">
        <v>0.011988012</v>
      </c>
    </row>
    <row r="76" customFormat="false" ht="15" hidden="false" customHeight="false" outlineLevel="0" collapsed="false">
      <c r="A76" s="0" t="s">
        <v>120</v>
      </c>
      <c r="B76" s="0" t="s">
        <v>114</v>
      </c>
      <c r="C76" s="0" t="n">
        <v>951</v>
      </c>
      <c r="D76" s="0" t="n">
        <v>0.19480519</v>
      </c>
      <c r="E76" s="0" t="n">
        <v>0.84700996</v>
      </c>
      <c r="F76" s="0" t="n">
        <v>0.06993007</v>
      </c>
      <c r="G76" s="0" t="s">
        <v>104</v>
      </c>
      <c r="H76" s="0" t="n">
        <v>0.50049948</v>
      </c>
    </row>
    <row r="77" customFormat="false" ht="15" hidden="false" customHeight="false" outlineLevel="0" collapsed="false">
      <c r="A77" s="0" t="s">
        <v>120</v>
      </c>
      <c r="B77" s="0" t="s">
        <v>115</v>
      </c>
      <c r="C77" s="0" t="n">
        <v>951</v>
      </c>
      <c r="D77" s="0" t="n">
        <v>0.19480519</v>
      </c>
      <c r="E77" s="0" t="n">
        <v>0.84700996</v>
      </c>
      <c r="F77" s="0" t="n">
        <v>0.06993007</v>
      </c>
      <c r="G77" s="0" t="s">
        <v>96</v>
      </c>
      <c r="H77" s="0" t="n">
        <v>0.50049948</v>
      </c>
    </row>
    <row r="78" customFormat="false" ht="15" hidden="false" customHeight="false" outlineLevel="0" collapsed="false">
      <c r="A78" s="0" t="s">
        <v>120</v>
      </c>
      <c r="B78" s="0" t="s">
        <v>112</v>
      </c>
      <c r="C78" s="0" t="n">
        <v>8012</v>
      </c>
      <c r="D78" s="0" t="n">
        <v>0.3126873</v>
      </c>
      <c r="E78" s="0" t="n">
        <v>0.50233895</v>
      </c>
      <c r="F78" s="0" t="n">
        <v>0.4845155</v>
      </c>
      <c r="G78" s="0" t="s">
        <v>104</v>
      </c>
      <c r="H78" s="0" t="n">
        <v>0.50049948</v>
      </c>
    </row>
    <row r="79" customFormat="false" ht="15" hidden="false" customHeight="false" outlineLevel="0" collapsed="false">
      <c r="A79" s="0" t="s">
        <v>120</v>
      </c>
      <c r="B79" s="0" t="s">
        <v>113</v>
      </c>
      <c r="C79" s="0" t="n">
        <v>8012</v>
      </c>
      <c r="D79" s="0" t="n">
        <v>0.3126873</v>
      </c>
      <c r="E79" s="0" t="n">
        <v>0.50233895</v>
      </c>
      <c r="F79" s="0" t="n">
        <v>0.4845155</v>
      </c>
      <c r="G79" s="0" t="s">
        <v>96</v>
      </c>
      <c r="H79" s="0" t="n">
        <v>0.50049948</v>
      </c>
    </row>
    <row r="80" customFormat="false" ht="15" hidden="false" customHeight="false" outlineLevel="0" collapsed="false">
      <c r="A80" s="0" t="s">
        <v>120</v>
      </c>
      <c r="B80" s="0" t="s">
        <v>110</v>
      </c>
      <c r="C80" s="0" t="n">
        <v>4339</v>
      </c>
      <c r="D80" s="0" t="n">
        <v>0.33366632</v>
      </c>
      <c r="E80" s="0" t="n">
        <v>0.46770793</v>
      </c>
      <c r="F80" s="0" t="n">
        <v>0.49050948</v>
      </c>
      <c r="G80" s="0" t="s">
        <v>104</v>
      </c>
      <c r="H80" s="0" t="n">
        <v>0.50049948</v>
      </c>
    </row>
    <row r="81" customFormat="false" ht="15" hidden="false" customHeight="false" outlineLevel="0" collapsed="false">
      <c r="A81" s="0" t="s">
        <v>120</v>
      </c>
      <c r="B81" s="0" t="s">
        <v>111</v>
      </c>
      <c r="C81" s="0" t="n">
        <v>4339</v>
      </c>
      <c r="D81" s="0" t="n">
        <v>0.33366632</v>
      </c>
      <c r="E81" s="0" t="n">
        <v>0.46770793</v>
      </c>
      <c r="F81" s="0" t="n">
        <v>0.49050948</v>
      </c>
      <c r="G81" s="0" t="s">
        <v>96</v>
      </c>
      <c r="H81" s="0" t="n">
        <v>0.50049948</v>
      </c>
    </row>
    <row r="82" customFormat="false" ht="15" hidden="false" customHeight="false" outlineLevel="0" collapsed="false">
      <c r="A82" s="0" t="s">
        <v>120</v>
      </c>
      <c r="B82" s="0" t="s">
        <v>108</v>
      </c>
      <c r="C82" s="0" t="n">
        <v>4623</v>
      </c>
      <c r="D82" s="0" t="n">
        <v>0.66333663</v>
      </c>
      <c r="E82" s="0" t="n">
        <v>-0.4186466</v>
      </c>
      <c r="F82" s="0" t="n">
        <v>0.033966035</v>
      </c>
      <c r="G82" s="0" t="s">
        <v>104</v>
      </c>
      <c r="H82" s="0" t="n">
        <v>0.796003956</v>
      </c>
    </row>
    <row r="83" customFormat="false" ht="15" hidden="false" customHeight="false" outlineLevel="0" collapsed="false">
      <c r="A83" s="0" t="s">
        <v>120</v>
      </c>
      <c r="B83" s="0" t="s">
        <v>109</v>
      </c>
      <c r="C83" s="0" t="n">
        <v>4623</v>
      </c>
      <c r="D83" s="0" t="n">
        <v>0.66333663</v>
      </c>
      <c r="E83" s="0" t="n">
        <v>-0.4186466</v>
      </c>
      <c r="F83" s="0" t="n">
        <v>0.033966035</v>
      </c>
      <c r="G83" s="0" t="s">
        <v>96</v>
      </c>
      <c r="H83" s="0" t="n">
        <v>0.796003956</v>
      </c>
    </row>
    <row r="84" customFormat="false" ht="15" hidden="false" customHeight="false" outlineLevel="0" collapsed="false">
      <c r="A84" s="0" t="s">
        <v>120</v>
      </c>
      <c r="B84" s="0" t="s">
        <v>106</v>
      </c>
      <c r="C84" s="0" t="n">
        <v>601</v>
      </c>
      <c r="D84" s="0" t="n">
        <v>0.93606395</v>
      </c>
      <c r="E84" s="0" t="n">
        <v>-1.488795</v>
      </c>
      <c r="F84" s="0" t="n">
        <v>0.16183816</v>
      </c>
      <c r="G84" s="0" t="s">
        <v>104</v>
      </c>
      <c r="H84" s="0" t="n">
        <v>0.93606395</v>
      </c>
    </row>
    <row r="85" customFormat="false" ht="15" hidden="false" customHeight="false" outlineLevel="0" collapsed="false">
      <c r="A85" s="0" t="s">
        <v>120</v>
      </c>
      <c r="B85" s="0" t="s">
        <v>107</v>
      </c>
      <c r="C85" s="0" t="n">
        <v>601</v>
      </c>
      <c r="D85" s="0" t="n">
        <v>0.93606395</v>
      </c>
      <c r="E85" s="0" t="n">
        <v>-1.488795</v>
      </c>
      <c r="F85" s="0" t="n">
        <v>0.16183816</v>
      </c>
      <c r="G85" s="0" t="s">
        <v>96</v>
      </c>
      <c r="H85" s="0" t="n">
        <v>0.93606395</v>
      </c>
    </row>
    <row r="86" customFormat="false" ht="15" hidden="false" customHeight="false" outlineLevel="0" collapsed="false">
      <c r="A86" s="0" t="s">
        <v>121</v>
      </c>
      <c r="B86" s="0" t="s">
        <v>114</v>
      </c>
      <c r="C86" s="0" t="n">
        <v>951</v>
      </c>
      <c r="D86" s="0" t="n">
        <v>0.000999001</v>
      </c>
      <c r="E86" s="0" t="n">
        <v>3.6233318</v>
      </c>
      <c r="F86" s="0" t="n">
        <v>0.001998002</v>
      </c>
      <c r="G86" s="0" t="s">
        <v>104</v>
      </c>
      <c r="H86" s="0" t="n">
        <v>0.005994006</v>
      </c>
    </row>
    <row r="87" customFormat="false" ht="15" hidden="false" customHeight="false" outlineLevel="0" collapsed="false">
      <c r="A87" s="0" t="s">
        <v>121</v>
      </c>
      <c r="B87" s="0" t="s">
        <v>115</v>
      </c>
      <c r="C87" s="0" t="n">
        <v>951</v>
      </c>
      <c r="D87" s="0" t="n">
        <v>0.000999001</v>
      </c>
      <c r="E87" s="0" t="n">
        <v>3.6233318</v>
      </c>
      <c r="F87" s="0" t="n">
        <v>0.001998002</v>
      </c>
      <c r="G87" s="0" t="s">
        <v>96</v>
      </c>
      <c r="H87" s="0" t="n">
        <v>0.005994006</v>
      </c>
    </row>
    <row r="88" customFormat="false" ht="15" hidden="false" customHeight="false" outlineLevel="0" collapsed="false">
      <c r="A88" s="0" t="s">
        <v>121</v>
      </c>
      <c r="B88" s="0" t="s">
        <v>112</v>
      </c>
      <c r="C88" s="0" t="n">
        <v>8012</v>
      </c>
      <c r="D88" s="0" t="n">
        <v>0.001998002</v>
      </c>
      <c r="E88" s="0" t="n">
        <v>3.9473033</v>
      </c>
      <c r="F88" s="0" t="n">
        <v>0.47952047</v>
      </c>
      <c r="G88" s="0" t="s">
        <v>104</v>
      </c>
      <c r="H88" s="0" t="n">
        <v>0.005994006</v>
      </c>
    </row>
    <row r="89" customFormat="false" ht="15" hidden="false" customHeight="false" outlineLevel="0" collapsed="false">
      <c r="A89" s="0" t="s">
        <v>121</v>
      </c>
      <c r="B89" s="0" t="s">
        <v>113</v>
      </c>
      <c r="C89" s="0" t="n">
        <v>8012</v>
      </c>
      <c r="D89" s="0" t="n">
        <v>0.001998002</v>
      </c>
      <c r="E89" s="0" t="n">
        <v>3.9473033</v>
      </c>
      <c r="F89" s="0" t="n">
        <v>0.47952047</v>
      </c>
      <c r="G89" s="0" t="s">
        <v>96</v>
      </c>
      <c r="H89" s="0" t="n">
        <v>0.005994006</v>
      </c>
    </row>
    <row r="90" customFormat="false" ht="15" hidden="false" customHeight="false" outlineLevel="0" collapsed="false">
      <c r="A90" s="0" t="s">
        <v>121</v>
      </c>
      <c r="B90" s="0" t="s">
        <v>103</v>
      </c>
      <c r="C90" s="0" t="n">
        <v>1473</v>
      </c>
      <c r="D90" s="0" t="n">
        <v>0.02897103</v>
      </c>
      <c r="E90" s="0" t="n">
        <v>2.009892</v>
      </c>
      <c r="F90" s="0" t="n">
        <v>0.022977022</v>
      </c>
      <c r="G90" s="0" t="s">
        <v>104</v>
      </c>
      <c r="H90" s="0" t="n">
        <v>0.05794206</v>
      </c>
    </row>
    <row r="91" customFormat="false" ht="15" hidden="false" customHeight="false" outlineLevel="0" collapsed="false">
      <c r="A91" s="0" t="s">
        <v>121</v>
      </c>
      <c r="B91" s="0" t="s">
        <v>105</v>
      </c>
      <c r="C91" s="0" t="n">
        <v>1473</v>
      </c>
      <c r="D91" s="0" t="n">
        <v>0.02897103</v>
      </c>
      <c r="E91" s="0" t="n">
        <v>2.009892</v>
      </c>
      <c r="F91" s="0" t="n">
        <v>0.022977022</v>
      </c>
      <c r="G91" s="0" t="s">
        <v>96</v>
      </c>
      <c r="H91" s="0" t="n">
        <v>0.05794206</v>
      </c>
    </row>
    <row r="92" customFormat="false" ht="15" hidden="false" customHeight="false" outlineLevel="0" collapsed="false">
      <c r="A92" s="0" t="s">
        <v>121</v>
      </c>
      <c r="B92" s="0" t="s">
        <v>106</v>
      </c>
      <c r="C92" s="0" t="n">
        <v>601</v>
      </c>
      <c r="D92" s="0" t="n">
        <v>0.92707294</v>
      </c>
      <c r="E92" s="0" t="n">
        <v>-1.4083736</v>
      </c>
      <c r="F92" s="0" t="n">
        <v>0.016983017</v>
      </c>
      <c r="G92" s="0" t="s">
        <v>104</v>
      </c>
      <c r="H92" s="0" t="n">
        <v>0.998002</v>
      </c>
    </row>
    <row r="93" customFormat="false" ht="15" hidden="false" customHeight="false" outlineLevel="0" collapsed="false">
      <c r="A93" s="0" t="s">
        <v>121</v>
      </c>
      <c r="B93" s="0" t="s">
        <v>107</v>
      </c>
      <c r="C93" s="0" t="n">
        <v>601</v>
      </c>
      <c r="D93" s="0" t="n">
        <v>0.92707294</v>
      </c>
      <c r="E93" s="0" t="n">
        <v>-1.4083736</v>
      </c>
      <c r="F93" s="0" t="n">
        <v>0.016983017</v>
      </c>
      <c r="G93" s="0" t="s">
        <v>96</v>
      </c>
      <c r="H93" s="0" t="n">
        <v>0.998002</v>
      </c>
    </row>
    <row r="94" customFormat="false" ht="15" hidden="false" customHeight="false" outlineLevel="0" collapsed="false">
      <c r="A94" s="0" t="s">
        <v>121</v>
      </c>
      <c r="B94" s="0" t="s">
        <v>110</v>
      </c>
      <c r="C94" s="0" t="n">
        <v>4339</v>
      </c>
      <c r="D94" s="0" t="n">
        <v>0.951049</v>
      </c>
      <c r="E94" s="0" t="n">
        <v>-1.6474487</v>
      </c>
      <c r="F94" s="0" t="n">
        <v>0.14185815</v>
      </c>
      <c r="G94" s="0" t="s">
        <v>104</v>
      </c>
      <c r="H94" s="0" t="n">
        <v>0.998002</v>
      </c>
    </row>
    <row r="95" customFormat="false" ht="15" hidden="false" customHeight="false" outlineLevel="0" collapsed="false">
      <c r="A95" s="0" t="s">
        <v>121</v>
      </c>
      <c r="B95" s="0" t="s">
        <v>111</v>
      </c>
      <c r="C95" s="0" t="n">
        <v>4339</v>
      </c>
      <c r="D95" s="0" t="n">
        <v>0.951049</v>
      </c>
      <c r="E95" s="0" t="n">
        <v>-1.6474487</v>
      </c>
      <c r="F95" s="0" t="n">
        <v>0.14185815</v>
      </c>
      <c r="G95" s="0" t="s">
        <v>96</v>
      </c>
      <c r="H95" s="0" t="n">
        <v>0.998002</v>
      </c>
    </row>
    <row r="96" customFormat="false" ht="15" hidden="false" customHeight="false" outlineLevel="0" collapsed="false">
      <c r="A96" s="0" t="s">
        <v>121</v>
      </c>
      <c r="B96" s="0" t="s">
        <v>108</v>
      </c>
      <c r="C96" s="0" t="n">
        <v>4623</v>
      </c>
      <c r="D96" s="0" t="n">
        <v>0.998002</v>
      </c>
      <c r="E96" s="0" t="n">
        <v>-2.7772267</v>
      </c>
      <c r="F96" s="0" t="n">
        <v>0.0939061</v>
      </c>
      <c r="G96" s="0" t="s">
        <v>104</v>
      </c>
      <c r="H96" s="0" t="n">
        <v>0.998002</v>
      </c>
    </row>
    <row r="97" customFormat="false" ht="15" hidden="false" customHeight="false" outlineLevel="0" collapsed="false">
      <c r="A97" s="0" t="s">
        <v>121</v>
      </c>
      <c r="B97" s="0" t="s">
        <v>109</v>
      </c>
      <c r="C97" s="0" t="n">
        <v>4623</v>
      </c>
      <c r="D97" s="0" t="n">
        <v>0.998002</v>
      </c>
      <c r="E97" s="0" t="n">
        <v>-2.7772267</v>
      </c>
      <c r="F97" s="0" t="n">
        <v>0.0939061</v>
      </c>
      <c r="G97" s="0" t="s">
        <v>96</v>
      </c>
      <c r="H97" s="0" t="n">
        <v>0.998002</v>
      </c>
    </row>
    <row r="98" customFormat="false" ht="15" hidden="false" customHeight="false" outlineLevel="0" collapsed="false">
      <c r="A98" s="0" t="s">
        <v>122</v>
      </c>
      <c r="B98" s="0" t="s">
        <v>103</v>
      </c>
      <c r="C98" s="0" t="n">
        <v>1473</v>
      </c>
      <c r="D98" s="0" t="n">
        <v>0.000999001</v>
      </c>
      <c r="E98" s="0" t="n">
        <v>5.245506</v>
      </c>
      <c r="F98" s="0" t="n">
        <v>0.002997003</v>
      </c>
      <c r="G98" s="0" t="s">
        <v>104</v>
      </c>
      <c r="H98" s="0" t="n">
        <v>0.005994006</v>
      </c>
    </row>
    <row r="99" customFormat="false" ht="15" hidden="false" customHeight="false" outlineLevel="0" collapsed="false">
      <c r="A99" s="0" t="s">
        <v>122</v>
      </c>
      <c r="B99" s="0" t="s">
        <v>105</v>
      </c>
      <c r="C99" s="0" t="n">
        <v>1473</v>
      </c>
      <c r="D99" s="0" t="n">
        <v>0.000999001</v>
      </c>
      <c r="E99" s="0" t="n">
        <v>5.245506</v>
      </c>
      <c r="F99" s="0" t="n">
        <v>0.002997003</v>
      </c>
      <c r="G99" s="0" t="s">
        <v>96</v>
      </c>
      <c r="H99" s="0" t="n">
        <v>0.005994006</v>
      </c>
    </row>
    <row r="100" customFormat="false" ht="15" hidden="false" customHeight="false" outlineLevel="0" collapsed="false">
      <c r="A100" s="0" t="s">
        <v>122</v>
      </c>
      <c r="B100" s="0" t="s">
        <v>112</v>
      </c>
      <c r="C100" s="0" t="n">
        <v>8012</v>
      </c>
      <c r="D100" s="0" t="n">
        <v>0.001998002</v>
      </c>
      <c r="E100" s="0" t="n">
        <v>3.255924</v>
      </c>
      <c r="F100" s="0" t="n">
        <v>0.013986014</v>
      </c>
      <c r="G100" s="0" t="s">
        <v>104</v>
      </c>
      <c r="H100" s="0" t="n">
        <v>0.005994006</v>
      </c>
    </row>
    <row r="101" customFormat="false" ht="15" hidden="false" customHeight="false" outlineLevel="0" collapsed="false">
      <c r="A101" s="0" t="s">
        <v>122</v>
      </c>
      <c r="B101" s="0" t="s">
        <v>113</v>
      </c>
      <c r="C101" s="0" t="n">
        <v>8012</v>
      </c>
      <c r="D101" s="0" t="n">
        <v>0.001998002</v>
      </c>
      <c r="E101" s="0" t="n">
        <v>3.255924</v>
      </c>
      <c r="F101" s="0" t="n">
        <v>0.013986014</v>
      </c>
      <c r="G101" s="0" t="s">
        <v>96</v>
      </c>
      <c r="H101" s="0" t="n">
        <v>0.005994006</v>
      </c>
    </row>
    <row r="102" customFormat="false" ht="15" hidden="false" customHeight="false" outlineLevel="0" collapsed="false">
      <c r="A102" s="0" t="s">
        <v>122</v>
      </c>
      <c r="B102" s="0" t="s">
        <v>106</v>
      </c>
      <c r="C102" s="0" t="n">
        <v>601</v>
      </c>
      <c r="D102" s="0" t="n">
        <v>0.20479521</v>
      </c>
      <c r="E102" s="0" t="n">
        <v>0.8352166</v>
      </c>
      <c r="F102" s="0" t="n">
        <v>0.043956045</v>
      </c>
      <c r="G102" s="0" t="s">
        <v>104</v>
      </c>
      <c r="H102" s="0" t="n">
        <v>0.40959042</v>
      </c>
    </row>
    <row r="103" customFormat="false" ht="15" hidden="false" customHeight="false" outlineLevel="0" collapsed="false">
      <c r="A103" s="0" t="s">
        <v>122</v>
      </c>
      <c r="B103" s="0" t="s">
        <v>107</v>
      </c>
      <c r="C103" s="0" t="n">
        <v>601</v>
      </c>
      <c r="D103" s="0" t="n">
        <v>0.20479521</v>
      </c>
      <c r="E103" s="0" t="n">
        <v>0.8352166</v>
      </c>
      <c r="F103" s="0" t="n">
        <v>0.043956045</v>
      </c>
      <c r="G103" s="0" t="s">
        <v>96</v>
      </c>
      <c r="H103" s="0" t="n">
        <v>0.40959042</v>
      </c>
    </row>
    <row r="104" customFormat="false" ht="15" hidden="false" customHeight="false" outlineLevel="0" collapsed="false">
      <c r="A104" s="0" t="s">
        <v>122</v>
      </c>
      <c r="B104" s="0" t="s">
        <v>114</v>
      </c>
      <c r="C104" s="0" t="n">
        <v>951</v>
      </c>
      <c r="D104" s="0" t="n">
        <v>0.42657343</v>
      </c>
      <c r="E104" s="0" t="n">
        <v>0.18478827</v>
      </c>
      <c r="F104" s="0" t="n">
        <v>0.16883117</v>
      </c>
      <c r="G104" s="0" t="s">
        <v>104</v>
      </c>
      <c r="H104" s="0" t="n">
        <v>0.639860145</v>
      </c>
    </row>
    <row r="105" customFormat="false" ht="15" hidden="false" customHeight="false" outlineLevel="0" collapsed="false">
      <c r="A105" s="0" t="s">
        <v>122</v>
      </c>
      <c r="B105" s="0" t="s">
        <v>115</v>
      </c>
      <c r="C105" s="0" t="n">
        <v>951</v>
      </c>
      <c r="D105" s="0" t="n">
        <v>0.42657343</v>
      </c>
      <c r="E105" s="0" t="n">
        <v>0.18478827</v>
      </c>
      <c r="F105" s="0" t="n">
        <v>0.16883117</v>
      </c>
      <c r="G105" s="0" t="s">
        <v>96</v>
      </c>
      <c r="H105" s="0" t="n">
        <v>0.639860145</v>
      </c>
    </row>
    <row r="106" customFormat="false" ht="15" hidden="false" customHeight="false" outlineLevel="0" collapsed="false">
      <c r="A106" s="0" t="s">
        <v>122</v>
      </c>
      <c r="B106" s="0" t="s">
        <v>108</v>
      </c>
      <c r="C106" s="0" t="n">
        <v>4623</v>
      </c>
      <c r="D106" s="0" t="n">
        <v>0.978022</v>
      </c>
      <c r="E106" s="0" t="n">
        <v>-1.9887086</v>
      </c>
      <c r="F106" s="0" t="n">
        <v>0.20379621</v>
      </c>
      <c r="G106" s="0" t="s">
        <v>104</v>
      </c>
      <c r="H106" s="0" t="n">
        <v>0.993007</v>
      </c>
    </row>
    <row r="107" customFormat="false" ht="15" hidden="false" customHeight="false" outlineLevel="0" collapsed="false">
      <c r="A107" s="0" t="s">
        <v>122</v>
      </c>
      <c r="B107" s="0" t="s">
        <v>109</v>
      </c>
      <c r="C107" s="0" t="n">
        <v>4623</v>
      </c>
      <c r="D107" s="0" t="n">
        <v>0.978022</v>
      </c>
      <c r="E107" s="0" t="n">
        <v>-1.9887086</v>
      </c>
      <c r="F107" s="0" t="n">
        <v>0.20379621</v>
      </c>
      <c r="G107" s="0" t="s">
        <v>96</v>
      </c>
      <c r="H107" s="0" t="n">
        <v>0.993007</v>
      </c>
    </row>
    <row r="108" customFormat="false" ht="15" hidden="false" customHeight="false" outlineLevel="0" collapsed="false">
      <c r="A108" s="0" t="s">
        <v>122</v>
      </c>
      <c r="B108" s="0" t="s">
        <v>110</v>
      </c>
      <c r="C108" s="0" t="n">
        <v>4339</v>
      </c>
      <c r="D108" s="0" t="n">
        <v>0.993007</v>
      </c>
      <c r="E108" s="0" t="n">
        <v>-2.4454806</v>
      </c>
      <c r="F108" s="0" t="n">
        <v>0.7992008</v>
      </c>
      <c r="G108" s="0" t="s">
        <v>104</v>
      </c>
      <c r="H108" s="0" t="n">
        <v>0.993007</v>
      </c>
    </row>
    <row r="109" customFormat="false" ht="15" hidden="false" customHeight="false" outlineLevel="0" collapsed="false">
      <c r="A109" s="0" t="s">
        <v>122</v>
      </c>
      <c r="B109" s="0" t="s">
        <v>111</v>
      </c>
      <c r="C109" s="0" t="n">
        <v>4339</v>
      </c>
      <c r="D109" s="0" t="n">
        <v>0.993007</v>
      </c>
      <c r="E109" s="0" t="n">
        <v>-2.4454806</v>
      </c>
      <c r="F109" s="0" t="n">
        <v>0.7992008</v>
      </c>
      <c r="G109" s="0" t="s">
        <v>96</v>
      </c>
      <c r="H109" s="0" t="n">
        <v>0.993007</v>
      </c>
    </row>
    <row r="110" customFormat="false" ht="15" hidden="false" customHeight="false" outlineLevel="0" collapsed="false">
      <c r="A110" s="0" t="s">
        <v>123</v>
      </c>
      <c r="B110" s="0" t="s">
        <v>103</v>
      </c>
      <c r="C110" s="0" t="n">
        <v>1473</v>
      </c>
      <c r="D110" s="0" t="n">
        <v>0.000999001</v>
      </c>
      <c r="E110" s="0" t="n">
        <v>4.1502423</v>
      </c>
      <c r="F110" s="0" t="n">
        <v>0.004995005</v>
      </c>
      <c r="G110" s="0" t="s">
        <v>104</v>
      </c>
      <c r="H110" s="0" t="n">
        <v>0.005994006</v>
      </c>
    </row>
    <row r="111" customFormat="false" ht="15" hidden="false" customHeight="false" outlineLevel="0" collapsed="false">
      <c r="A111" s="0" t="s">
        <v>123</v>
      </c>
      <c r="B111" s="0" t="s">
        <v>105</v>
      </c>
      <c r="C111" s="0" t="n">
        <v>1473</v>
      </c>
      <c r="D111" s="0" t="n">
        <v>0.000999001</v>
      </c>
      <c r="E111" s="0" t="n">
        <v>4.1502423</v>
      </c>
      <c r="F111" s="0" t="n">
        <v>0.004995005</v>
      </c>
      <c r="G111" s="0" t="s">
        <v>96</v>
      </c>
      <c r="H111" s="0" t="n">
        <v>0.005994006</v>
      </c>
    </row>
    <row r="112" customFormat="false" ht="15" hidden="false" customHeight="false" outlineLevel="0" collapsed="false">
      <c r="A112" s="0" t="s">
        <v>123</v>
      </c>
      <c r="B112" s="0" t="s">
        <v>112</v>
      </c>
      <c r="C112" s="0" t="n">
        <v>8012</v>
      </c>
      <c r="D112" s="0" t="n">
        <v>0.054945055</v>
      </c>
      <c r="E112" s="0" t="n">
        <v>1.7236553</v>
      </c>
      <c r="F112" s="0" t="n">
        <v>0.6323676</v>
      </c>
      <c r="G112" s="0" t="s">
        <v>104</v>
      </c>
      <c r="H112" s="0" t="n">
        <v>0.164835165</v>
      </c>
    </row>
    <row r="113" customFormat="false" ht="15" hidden="false" customHeight="false" outlineLevel="0" collapsed="false">
      <c r="A113" s="0" t="s">
        <v>123</v>
      </c>
      <c r="B113" s="0" t="s">
        <v>113</v>
      </c>
      <c r="C113" s="0" t="n">
        <v>8012</v>
      </c>
      <c r="D113" s="0" t="n">
        <v>0.054945055</v>
      </c>
      <c r="E113" s="0" t="n">
        <v>1.7236553</v>
      </c>
      <c r="F113" s="0" t="n">
        <v>0.6323676</v>
      </c>
      <c r="G113" s="0" t="s">
        <v>96</v>
      </c>
      <c r="H113" s="0" t="n">
        <v>0.164835165</v>
      </c>
    </row>
    <row r="114" customFormat="false" ht="15" hidden="false" customHeight="false" outlineLevel="0" collapsed="false">
      <c r="A114" s="0" t="s">
        <v>123</v>
      </c>
      <c r="B114" s="0" t="s">
        <v>106</v>
      </c>
      <c r="C114" s="0" t="n">
        <v>601</v>
      </c>
      <c r="D114" s="0" t="n">
        <v>0.22977023</v>
      </c>
      <c r="E114" s="0" t="n">
        <v>0.75389415</v>
      </c>
      <c r="F114" s="0" t="n">
        <v>0.02897103</v>
      </c>
      <c r="G114" s="0" t="s">
        <v>104</v>
      </c>
      <c r="H114" s="0" t="n">
        <v>0.45954046</v>
      </c>
    </row>
    <row r="115" customFormat="false" ht="15" hidden="false" customHeight="false" outlineLevel="0" collapsed="false">
      <c r="A115" s="0" t="s">
        <v>123</v>
      </c>
      <c r="B115" s="0" t="s">
        <v>107</v>
      </c>
      <c r="C115" s="0" t="n">
        <v>601</v>
      </c>
      <c r="D115" s="0" t="n">
        <v>0.22977023</v>
      </c>
      <c r="E115" s="0" t="n">
        <v>0.75389415</v>
      </c>
      <c r="F115" s="0" t="n">
        <v>0.02897103</v>
      </c>
      <c r="G115" s="0" t="s">
        <v>96</v>
      </c>
      <c r="H115" s="0" t="n">
        <v>0.45954046</v>
      </c>
    </row>
    <row r="116" customFormat="false" ht="15" hidden="false" customHeight="false" outlineLevel="0" collapsed="false">
      <c r="A116" s="0" t="s">
        <v>123</v>
      </c>
      <c r="B116" s="0" t="s">
        <v>114</v>
      </c>
      <c r="C116" s="0" t="n">
        <v>951</v>
      </c>
      <c r="D116" s="0" t="n">
        <v>0.33766234</v>
      </c>
      <c r="E116" s="0" t="n">
        <v>0.40078178</v>
      </c>
      <c r="F116" s="0" t="n">
        <v>0.001998002</v>
      </c>
      <c r="G116" s="0" t="s">
        <v>104</v>
      </c>
      <c r="H116" s="0" t="n">
        <v>0.50649351</v>
      </c>
    </row>
    <row r="117" customFormat="false" ht="15" hidden="false" customHeight="false" outlineLevel="0" collapsed="false">
      <c r="A117" s="0" t="s">
        <v>123</v>
      </c>
      <c r="B117" s="0" t="s">
        <v>115</v>
      </c>
      <c r="C117" s="0" t="n">
        <v>951</v>
      </c>
      <c r="D117" s="0" t="n">
        <v>0.33766234</v>
      </c>
      <c r="E117" s="0" t="n">
        <v>0.40078178</v>
      </c>
      <c r="F117" s="0" t="n">
        <v>0.001998002</v>
      </c>
      <c r="G117" s="0" t="s">
        <v>96</v>
      </c>
      <c r="H117" s="0" t="n">
        <v>0.50649351</v>
      </c>
    </row>
    <row r="118" customFormat="false" ht="15" hidden="false" customHeight="false" outlineLevel="0" collapsed="false">
      <c r="A118" s="0" t="s">
        <v>123</v>
      </c>
      <c r="B118" s="0" t="s">
        <v>108</v>
      </c>
      <c r="C118" s="0" t="n">
        <v>4623</v>
      </c>
      <c r="D118" s="0" t="n">
        <v>0.76623374</v>
      </c>
      <c r="E118" s="0" t="n">
        <v>-0.68624794</v>
      </c>
      <c r="F118" s="0" t="n">
        <v>0.032967035</v>
      </c>
      <c r="G118" s="0" t="s">
        <v>104</v>
      </c>
      <c r="H118" s="0" t="n">
        <v>0.919480488</v>
      </c>
    </row>
    <row r="119" customFormat="false" ht="15" hidden="false" customHeight="false" outlineLevel="0" collapsed="false">
      <c r="A119" s="0" t="s">
        <v>123</v>
      </c>
      <c r="B119" s="0" t="s">
        <v>109</v>
      </c>
      <c r="C119" s="0" t="n">
        <v>4623</v>
      </c>
      <c r="D119" s="0" t="n">
        <v>0.76623374</v>
      </c>
      <c r="E119" s="0" t="n">
        <v>-0.68624794</v>
      </c>
      <c r="F119" s="0" t="n">
        <v>0.032967035</v>
      </c>
      <c r="G119" s="0" t="s">
        <v>96</v>
      </c>
      <c r="H119" s="0" t="n">
        <v>0.919480488</v>
      </c>
    </row>
    <row r="120" customFormat="false" ht="15" hidden="false" customHeight="false" outlineLevel="0" collapsed="false">
      <c r="A120" s="0" t="s">
        <v>123</v>
      </c>
      <c r="B120" s="0" t="s">
        <v>110</v>
      </c>
      <c r="C120" s="0" t="n">
        <v>4339</v>
      </c>
      <c r="D120" s="0" t="n">
        <v>0.982018</v>
      </c>
      <c r="E120" s="0" t="n">
        <v>-2.1244724</v>
      </c>
      <c r="F120" s="0" t="n">
        <v>0.9130869</v>
      </c>
      <c r="G120" s="0" t="s">
        <v>104</v>
      </c>
      <c r="H120" s="0" t="n">
        <v>0.982018</v>
      </c>
    </row>
    <row r="121" customFormat="false" ht="15" hidden="false" customHeight="false" outlineLevel="0" collapsed="false">
      <c r="A121" s="0" t="s">
        <v>123</v>
      </c>
      <c r="B121" s="0" t="s">
        <v>111</v>
      </c>
      <c r="C121" s="0" t="n">
        <v>4339</v>
      </c>
      <c r="D121" s="0" t="n">
        <v>0.982018</v>
      </c>
      <c r="E121" s="0" t="n">
        <v>-2.1244724</v>
      </c>
      <c r="F121" s="0" t="n">
        <v>0.9130869</v>
      </c>
      <c r="G121" s="0" t="s">
        <v>96</v>
      </c>
      <c r="H121" s="0" t="n">
        <v>0.982018</v>
      </c>
    </row>
    <row r="122" customFormat="false" ht="15" hidden="false" customHeight="false" outlineLevel="0" collapsed="false">
      <c r="A122" s="0" t="s">
        <v>124</v>
      </c>
      <c r="B122" s="0" t="s">
        <v>112</v>
      </c>
      <c r="C122" s="0" t="n">
        <v>8012</v>
      </c>
      <c r="D122" s="0" t="n">
        <v>0.000999001</v>
      </c>
      <c r="E122" s="0" t="n">
        <v>3.4247286</v>
      </c>
      <c r="F122" s="0" t="n">
        <v>0.5014985</v>
      </c>
      <c r="G122" s="0" t="s">
        <v>104</v>
      </c>
      <c r="H122" s="0" t="n">
        <v>0.005994006</v>
      </c>
    </row>
    <row r="123" customFormat="false" ht="15" hidden="false" customHeight="false" outlineLevel="0" collapsed="false">
      <c r="A123" s="0" t="s">
        <v>124</v>
      </c>
      <c r="B123" s="0" t="s">
        <v>113</v>
      </c>
      <c r="C123" s="0" t="n">
        <v>8012</v>
      </c>
      <c r="D123" s="0" t="n">
        <v>0.000999001</v>
      </c>
      <c r="E123" s="0" t="n">
        <v>3.4247286</v>
      </c>
      <c r="F123" s="0" t="n">
        <v>0.5014985</v>
      </c>
      <c r="G123" s="0" t="s">
        <v>96</v>
      </c>
      <c r="H123" s="0" t="n">
        <v>0.005994006</v>
      </c>
    </row>
    <row r="124" customFormat="false" ht="15" hidden="false" customHeight="false" outlineLevel="0" collapsed="false">
      <c r="A124" s="0" t="s">
        <v>124</v>
      </c>
      <c r="B124" s="0" t="s">
        <v>114</v>
      </c>
      <c r="C124" s="0" t="n">
        <v>951</v>
      </c>
      <c r="D124" s="0" t="n">
        <v>0.36363637</v>
      </c>
      <c r="E124" s="0" t="n">
        <v>0.291017</v>
      </c>
      <c r="F124" s="0" t="n">
        <v>0.72527474</v>
      </c>
      <c r="G124" s="0" t="s">
        <v>104</v>
      </c>
      <c r="H124" s="0" t="n">
        <v>0.86713284</v>
      </c>
    </row>
    <row r="125" customFormat="false" ht="15" hidden="false" customHeight="false" outlineLevel="0" collapsed="false">
      <c r="A125" s="0" t="s">
        <v>124</v>
      </c>
      <c r="B125" s="0" t="s">
        <v>115</v>
      </c>
      <c r="C125" s="0" t="n">
        <v>951</v>
      </c>
      <c r="D125" s="0" t="n">
        <v>0.36363637</v>
      </c>
      <c r="E125" s="0" t="n">
        <v>0.291017</v>
      </c>
      <c r="F125" s="0" t="n">
        <v>0.72527474</v>
      </c>
      <c r="G125" s="0" t="s">
        <v>96</v>
      </c>
      <c r="H125" s="0" t="n">
        <v>0.86713284</v>
      </c>
    </row>
    <row r="126" customFormat="false" ht="15" hidden="false" customHeight="false" outlineLevel="0" collapsed="false">
      <c r="A126" s="0" t="s">
        <v>124</v>
      </c>
      <c r="B126" s="0" t="s">
        <v>103</v>
      </c>
      <c r="C126" s="0" t="n">
        <v>1473</v>
      </c>
      <c r="D126" s="0" t="n">
        <v>0.43356642</v>
      </c>
      <c r="E126" s="0" t="n">
        <v>0.11217019</v>
      </c>
      <c r="F126" s="0" t="n">
        <v>0.16683316</v>
      </c>
      <c r="G126" s="0" t="s">
        <v>104</v>
      </c>
      <c r="H126" s="0" t="n">
        <v>0.86713284</v>
      </c>
    </row>
    <row r="127" customFormat="false" ht="15" hidden="false" customHeight="false" outlineLevel="0" collapsed="false">
      <c r="A127" s="0" t="s">
        <v>124</v>
      </c>
      <c r="B127" s="0" t="s">
        <v>105</v>
      </c>
      <c r="C127" s="0" t="n">
        <v>1473</v>
      </c>
      <c r="D127" s="0" t="n">
        <v>0.43356642</v>
      </c>
      <c r="E127" s="0" t="n">
        <v>0.11217019</v>
      </c>
      <c r="F127" s="0" t="n">
        <v>0.16683316</v>
      </c>
      <c r="G127" s="0" t="s">
        <v>96</v>
      </c>
      <c r="H127" s="0" t="n">
        <v>0.86713284</v>
      </c>
    </row>
    <row r="128" customFormat="false" ht="15" hidden="false" customHeight="false" outlineLevel="0" collapsed="false">
      <c r="A128" s="0" t="s">
        <v>124</v>
      </c>
      <c r="B128" s="0" t="s">
        <v>106</v>
      </c>
      <c r="C128" s="0" t="n">
        <v>601</v>
      </c>
      <c r="D128" s="0" t="n">
        <v>0.83016986</v>
      </c>
      <c r="E128" s="0" t="n">
        <v>-0.9863505</v>
      </c>
      <c r="F128" s="0" t="n">
        <v>0.037962038</v>
      </c>
      <c r="G128" s="0" t="s">
        <v>104</v>
      </c>
      <c r="H128" s="0" t="n">
        <v>0.998002</v>
      </c>
    </row>
    <row r="129" customFormat="false" ht="15" hidden="false" customHeight="false" outlineLevel="0" collapsed="false">
      <c r="A129" s="0" t="s">
        <v>124</v>
      </c>
      <c r="B129" s="0" t="s">
        <v>107</v>
      </c>
      <c r="C129" s="0" t="n">
        <v>601</v>
      </c>
      <c r="D129" s="0" t="n">
        <v>0.83016986</v>
      </c>
      <c r="E129" s="0" t="n">
        <v>-0.9863505</v>
      </c>
      <c r="F129" s="0" t="n">
        <v>0.037962038</v>
      </c>
      <c r="G129" s="0" t="s">
        <v>96</v>
      </c>
      <c r="H129" s="0" t="n">
        <v>0.998002</v>
      </c>
    </row>
    <row r="130" customFormat="false" ht="15" hidden="false" customHeight="false" outlineLevel="0" collapsed="false">
      <c r="A130" s="0" t="s">
        <v>124</v>
      </c>
      <c r="B130" s="0" t="s">
        <v>110</v>
      </c>
      <c r="C130" s="0" t="n">
        <v>4339</v>
      </c>
      <c r="D130" s="0" t="n">
        <v>0.97902095</v>
      </c>
      <c r="E130" s="0" t="n">
        <v>-1.9666325</v>
      </c>
      <c r="F130" s="0" t="n">
        <v>0.6093906</v>
      </c>
      <c r="G130" s="0" t="s">
        <v>104</v>
      </c>
      <c r="H130" s="0" t="n">
        <v>0.998002</v>
      </c>
    </row>
    <row r="131" customFormat="false" ht="15" hidden="false" customHeight="false" outlineLevel="0" collapsed="false">
      <c r="A131" s="0" t="s">
        <v>124</v>
      </c>
      <c r="B131" s="0" t="s">
        <v>111</v>
      </c>
      <c r="C131" s="0" t="n">
        <v>4339</v>
      </c>
      <c r="D131" s="0" t="n">
        <v>0.97902095</v>
      </c>
      <c r="E131" s="0" t="n">
        <v>-1.9666325</v>
      </c>
      <c r="F131" s="0" t="n">
        <v>0.6093906</v>
      </c>
      <c r="G131" s="0" t="s">
        <v>96</v>
      </c>
      <c r="H131" s="0" t="n">
        <v>0.998002</v>
      </c>
    </row>
    <row r="132" customFormat="false" ht="15" hidden="false" customHeight="false" outlineLevel="0" collapsed="false">
      <c r="A132" s="0" t="s">
        <v>124</v>
      </c>
      <c r="B132" s="0" t="s">
        <v>108</v>
      </c>
      <c r="C132" s="0" t="n">
        <v>4623</v>
      </c>
      <c r="D132" s="0" t="n">
        <v>0.998002</v>
      </c>
      <c r="E132" s="0" t="n">
        <v>-2.7695248</v>
      </c>
      <c r="F132" s="0" t="n">
        <v>0.30769232</v>
      </c>
      <c r="G132" s="0" t="s">
        <v>104</v>
      </c>
      <c r="H132" s="0" t="n">
        <v>0.998002</v>
      </c>
    </row>
    <row r="133" customFormat="false" ht="15" hidden="false" customHeight="false" outlineLevel="0" collapsed="false">
      <c r="A133" s="0" t="s">
        <v>124</v>
      </c>
      <c r="B133" s="0" t="s">
        <v>109</v>
      </c>
      <c r="C133" s="0" t="n">
        <v>4623</v>
      </c>
      <c r="D133" s="0" t="n">
        <v>0.998002</v>
      </c>
      <c r="E133" s="0" t="n">
        <v>-2.7695248</v>
      </c>
      <c r="F133" s="0" t="n">
        <v>0.30769232</v>
      </c>
      <c r="G133" s="0" t="s">
        <v>96</v>
      </c>
      <c r="H133" s="0" t="n">
        <v>0.998002</v>
      </c>
    </row>
  </sheetData>
  <autoFilter ref="A1:H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3"/>
    <col collapsed="false" customWidth="true" hidden="false" outlineLevel="0" max="16" min="15" style="0" width="20"/>
    <col collapsed="false" customWidth="true" hidden="false" outlineLevel="0" max="17" min="17" style="0" width="21"/>
    <col collapsed="false" customWidth="true" hidden="false" outlineLevel="0" max="18" min="18" style="0" width="20"/>
    <col collapsed="false" customWidth="true" hidden="false" outlineLevel="0" max="19" min="19" style="0" width="23"/>
    <col collapsed="false" customWidth="true" hidden="false" outlineLevel="0" max="20" min="20" style="0" width="21"/>
    <col collapsed="false" customWidth="true" hidden="false" outlineLevel="0" max="23" min="21" style="0" width="20"/>
    <col collapsed="false" customWidth="true" hidden="false" outlineLevel="0" max="24" min="24" style="0" width="19"/>
    <col collapsed="false" customWidth="true" hidden="false" outlineLevel="0" max="25" min="25" style="0" width="17"/>
    <col collapsed="false" customWidth="true" hidden="false" outlineLevel="0" max="26" min="26" style="0" width="24"/>
    <col collapsed="false" customWidth="true" hidden="false" outlineLevel="0" max="27" min="27" style="0" width="20"/>
    <col collapsed="false" customWidth="true" hidden="false" outlineLevel="0" max="28" min="28" style="0" width="23"/>
    <col collapsed="false" customWidth="true" hidden="false" outlineLevel="0" max="29" min="29" style="0" width="19"/>
    <col collapsed="false" customWidth="true" hidden="false" outlineLevel="0" max="30" min="30" style="0" width="20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</row>
    <row r="2" customFormat="false" ht="15" hidden="false" customHeight="false" outlineLevel="0" collapsed="false">
      <c r="A2" s="0" t="s">
        <v>155</v>
      </c>
      <c r="B2" s="0" t="s">
        <v>17</v>
      </c>
      <c r="C2" s="0" t="n">
        <v>12</v>
      </c>
      <c r="D2" s="0" t="n">
        <v>-0.0756062057230115</v>
      </c>
      <c r="E2" s="0" t="n">
        <v>0.207321557640268</v>
      </c>
      <c r="F2" s="0" t="n">
        <v>0.722263660960571</v>
      </c>
      <c r="G2" s="0" t="n">
        <v>32.3360008397409</v>
      </c>
      <c r="H2" s="0" t="n">
        <v>0.0006735444668247</v>
      </c>
      <c r="I2" s="0" t="n">
        <v>-0.0844391112187993</v>
      </c>
      <c r="J2" s="0" t="n">
        <v>0.202242184516564</v>
      </c>
      <c r="K2" s="0" t="n">
        <v>0.685124503144357</v>
      </c>
      <c r="L2" s="0" t="n">
        <v>0.0123440517902551</v>
      </c>
      <c r="M2" s="0" t="n">
        <v>0.238225718153944</v>
      </c>
      <c r="N2" s="0" t="n">
        <v>-0.267588966341676</v>
      </c>
      <c r="O2" s="0" t="n">
        <v>0.256866520210255</v>
      </c>
      <c r="P2" s="0" t="n">
        <v>0.297530726304583</v>
      </c>
      <c r="Q2" s="0" t="n">
        <v>-0.378676377539601</v>
      </c>
      <c r="R2" s="0" t="n">
        <v>0.223564672744645</v>
      </c>
      <c r="S2" s="0" t="n">
        <v>0.0903011388645191</v>
      </c>
      <c r="T2" s="0" t="n">
        <v>-0.301412651809904</v>
      </c>
      <c r="U2" s="0" t="n">
        <v>0.268648349439604</v>
      </c>
      <c r="V2" s="0" t="n">
        <v>0.261879527298752</v>
      </c>
      <c r="W2" s="0" t="n">
        <v>0.0009996667777407</v>
      </c>
      <c r="X2" s="0" t="n">
        <v>1</v>
      </c>
      <c r="Y2" s="2" t="b">
        <f aca="false">TRUE()</f>
        <v>1</v>
      </c>
      <c r="Z2" s="0" t="n">
        <v>1.11338482401909E-045</v>
      </c>
      <c r="AA2" s="0" t="n">
        <v>0.012465266822288</v>
      </c>
      <c r="AB2" s="0" t="n">
        <v>9.68883264475591E-005</v>
      </c>
      <c r="AC2" s="0" t="n">
        <v>40.020880258793</v>
      </c>
      <c r="AD2" s="0" t="n">
        <v>0.780044753837417</v>
      </c>
    </row>
    <row r="3" customFormat="false" ht="15" hidden="false" customHeight="false" outlineLevel="0" collapsed="false">
      <c r="A3" s="0" t="s">
        <v>155</v>
      </c>
      <c r="B3" s="0" t="s">
        <v>51</v>
      </c>
      <c r="C3" s="0" t="n">
        <v>12</v>
      </c>
      <c r="D3" s="0" t="n">
        <v>0.233532433095338</v>
      </c>
      <c r="E3" s="0" t="n">
        <v>0.142389414859275</v>
      </c>
      <c r="F3" s="0" t="n">
        <v>0.129240787097702</v>
      </c>
      <c r="G3" s="0" t="n">
        <v>19.2076552385468</v>
      </c>
      <c r="H3" s="0" t="n">
        <v>0.0574663687213401</v>
      </c>
      <c r="I3" s="0" t="n">
        <v>0.232527429104284</v>
      </c>
      <c r="J3" s="0" t="n">
        <v>0.149202380351374</v>
      </c>
      <c r="K3" s="0" t="n">
        <v>0.150180182857546</v>
      </c>
      <c r="L3" s="0" t="n">
        <v>0.0013054847785651</v>
      </c>
      <c r="M3" s="0" t="n">
        <v>0.860735971834584</v>
      </c>
      <c r="N3" s="0" t="n">
        <v>0.0960741931154495</v>
      </c>
      <c r="O3" s="0" t="n">
        <v>0.21515919086505</v>
      </c>
      <c r="P3" s="0" t="n">
        <v>0.65521726788834</v>
      </c>
      <c r="Q3" s="0" t="n">
        <v>-0.041561761293853</v>
      </c>
      <c r="R3" s="0" t="n">
        <v>0.211920953037053</v>
      </c>
      <c r="S3" s="0" t="n">
        <v>0.844516892574381</v>
      </c>
      <c r="T3" s="0" t="n">
        <v>-0.0466805384669912</v>
      </c>
      <c r="U3" s="0" t="n">
        <v>0.265610754004305</v>
      </c>
      <c r="V3" s="0" t="n">
        <v>0.860491983739784</v>
      </c>
      <c r="W3" s="0" t="n">
        <v>0.0609796734421859</v>
      </c>
      <c r="X3" s="0" t="n">
        <v>2</v>
      </c>
      <c r="Y3" s="2" t="b">
        <f aca="false">TRUE()</f>
        <v>1</v>
      </c>
      <c r="Z3" s="0" t="n">
        <v>6.43762167750632E-047</v>
      </c>
      <c r="AA3" s="0" t="n">
        <v>0.012465266822288</v>
      </c>
      <c r="AB3" s="0" t="n">
        <v>7.07583980321828E-005</v>
      </c>
      <c r="AC3" s="0" t="n">
        <v>40.020880258793</v>
      </c>
      <c r="AD3" s="0" t="n">
        <v>0.280042144086562</v>
      </c>
    </row>
    <row r="4" customFormat="false" ht="15" hidden="false" customHeight="false" outlineLevel="0" collapsed="false">
      <c r="A4" s="0" t="s">
        <v>155</v>
      </c>
      <c r="B4" s="0" t="s">
        <v>47</v>
      </c>
      <c r="C4" s="0" t="n">
        <v>12</v>
      </c>
      <c r="D4" s="0" t="n">
        <v>0.151158454190704</v>
      </c>
      <c r="E4" s="0" t="n">
        <v>0.173788373308335</v>
      </c>
      <c r="F4" s="0" t="n">
        <v>0.402998977995064</v>
      </c>
      <c r="G4" s="0" t="n">
        <v>15.6537296812076</v>
      </c>
      <c r="H4" s="0" t="n">
        <v>0.154480608959573</v>
      </c>
      <c r="I4" s="0" t="n">
        <v>0.15664482331026</v>
      </c>
      <c r="J4" s="0" t="n">
        <v>0.176966320324407</v>
      </c>
      <c r="K4" s="0" t="n">
        <v>0.396851335505125</v>
      </c>
      <c r="L4" s="0" t="n">
        <v>-0.0068029414087382</v>
      </c>
      <c r="M4" s="0" t="n">
        <v>0.447602733637675</v>
      </c>
      <c r="N4" s="0" t="n">
        <v>0.227990235404569</v>
      </c>
      <c r="O4" s="0" t="n">
        <v>0.312713729456402</v>
      </c>
      <c r="P4" s="0" t="n">
        <v>0.465958772785962</v>
      </c>
      <c r="Q4" s="0" t="n">
        <v>0.445468735423869</v>
      </c>
      <c r="R4" s="0" t="n">
        <v>0.451739640777662</v>
      </c>
      <c r="S4" s="0" t="n">
        <v>0.324075054941615</v>
      </c>
      <c r="T4" s="0" t="n">
        <v>0.49424765519468</v>
      </c>
      <c r="U4" s="0" t="n">
        <v>0.459718255722753</v>
      </c>
      <c r="V4" s="0" t="n">
        <v>0.282325520559996</v>
      </c>
      <c r="W4" s="0" t="n">
        <v>0.160613128957014</v>
      </c>
      <c r="X4" s="0" t="n">
        <v>0</v>
      </c>
      <c r="Y4" s="2" t="b">
        <f aca="false">TRUE()</f>
        <v>1</v>
      </c>
      <c r="Z4" s="0" t="n">
        <v>2.77241248425368E-042</v>
      </c>
      <c r="AA4" s="0" t="n">
        <v>0.012465266822288</v>
      </c>
      <c r="AB4" s="0" t="n">
        <v>0.0001925404125673</v>
      </c>
      <c r="AC4" s="0" t="n">
        <v>40.020880258793</v>
      </c>
      <c r="AD4" s="0" t="n">
        <v>0.557998584916243</v>
      </c>
    </row>
    <row r="5" customFormat="false" ht="15" hidden="false" customHeight="false" outlineLevel="0" collapsed="false">
      <c r="A5" s="0" t="s">
        <v>155</v>
      </c>
      <c r="B5" s="0" t="s">
        <v>73</v>
      </c>
      <c r="C5" s="0" t="n">
        <v>12</v>
      </c>
      <c r="D5" s="0" t="n">
        <v>0.290384293634129</v>
      </c>
      <c r="E5" s="0" t="n">
        <v>0.166830066239055</v>
      </c>
      <c r="F5" s="0" t="n">
        <v>0.109614103129808</v>
      </c>
      <c r="G5" s="0" t="n">
        <v>15.199922354992</v>
      </c>
      <c r="H5" s="0" t="n">
        <v>0.173526129535127</v>
      </c>
      <c r="I5" s="0" t="n">
        <v>0.287459968914258</v>
      </c>
      <c r="J5" s="0" t="n">
        <v>0.173196255745041</v>
      </c>
      <c r="K5" s="0" t="n">
        <v>0.127955203797363</v>
      </c>
      <c r="L5" s="0" t="n">
        <v>0.0039475800713766</v>
      </c>
      <c r="M5" s="0" t="n">
        <v>0.649481484031093</v>
      </c>
      <c r="N5" s="0" t="n">
        <v>0.262872463495847</v>
      </c>
      <c r="O5" s="0" t="n">
        <v>0.175896866849402</v>
      </c>
      <c r="P5" s="0" t="n">
        <v>0.135053006144973</v>
      </c>
      <c r="Q5" s="0" t="n">
        <v>0.230282504761068</v>
      </c>
      <c r="R5" s="0" t="n">
        <v>0.200667014205373</v>
      </c>
      <c r="S5" s="0" t="n">
        <v>0.251139823593036</v>
      </c>
      <c r="T5" s="0" t="n">
        <v>0.250311785450209</v>
      </c>
      <c r="U5" s="0" t="n">
        <v>0.210477905301794</v>
      </c>
      <c r="V5" s="0" t="n">
        <v>0.234339553868725</v>
      </c>
      <c r="W5" s="0" t="n">
        <v>0.178273908697101</v>
      </c>
      <c r="X5" s="0" t="n">
        <v>1</v>
      </c>
      <c r="Y5" s="2" t="b">
        <f aca="false">TRUE()</f>
        <v>1</v>
      </c>
      <c r="Z5" s="0" t="n">
        <v>1.3227055568823E-048</v>
      </c>
      <c r="AA5" s="0" t="n">
        <v>0.012465266822288</v>
      </c>
      <c r="AB5" s="0" t="n">
        <v>4.21427082690293E-005</v>
      </c>
      <c r="AC5" s="0" t="n">
        <v>40.020880258793</v>
      </c>
      <c r="AD5" s="0" t="n">
        <v>0.257354850826505</v>
      </c>
    </row>
    <row r="6" customFormat="false" ht="15" hidden="false" customHeight="false" outlineLevel="0" collapsed="false">
      <c r="A6" s="0" t="s">
        <v>155</v>
      </c>
      <c r="B6" s="0" t="s">
        <v>9</v>
      </c>
      <c r="C6" s="0" t="n">
        <v>12</v>
      </c>
      <c r="D6" s="0" t="n">
        <v>0.194570684712702</v>
      </c>
      <c r="E6" s="0" t="n">
        <v>0.24828223394323</v>
      </c>
      <c r="F6" s="0" t="n">
        <v>0.449780257934582</v>
      </c>
      <c r="G6" s="0" t="n">
        <v>45.7072899186465</v>
      </c>
      <c r="H6" s="0" t="n">
        <v>3.64200979441343E-006</v>
      </c>
      <c r="I6" s="0" t="n">
        <v>0.193240408112938</v>
      </c>
      <c r="J6" s="0" t="n">
        <v>0.260139829885022</v>
      </c>
      <c r="K6" s="0" t="n">
        <v>0.474671453835356</v>
      </c>
      <c r="L6" s="0" t="n">
        <v>0.0021470437658187</v>
      </c>
      <c r="M6" s="0" t="n">
        <v>0.867999853771577</v>
      </c>
      <c r="N6" s="0" t="n">
        <v>-0.0599818592985312</v>
      </c>
      <c r="O6" s="0" t="n">
        <v>0.180977688720889</v>
      </c>
      <c r="P6" s="0" t="n">
        <v>0.740317938359931</v>
      </c>
      <c r="Q6" s="0" t="n">
        <v>-0.148395390543895</v>
      </c>
      <c r="R6" s="0" t="n">
        <v>0.156279140954975</v>
      </c>
      <c r="S6" s="0" t="n">
        <v>0.342339223373547</v>
      </c>
      <c r="T6" s="0" t="n">
        <v>-0.132015131976332</v>
      </c>
      <c r="U6" s="0" t="n">
        <v>0.147697726838938</v>
      </c>
      <c r="V6" s="0" t="n">
        <v>0.371418388510322</v>
      </c>
      <c r="W6" s="0" t="n">
        <v>0.0003332222592469</v>
      </c>
      <c r="X6" s="0" t="n">
        <v>2</v>
      </c>
      <c r="Y6" s="2" t="b">
        <f aca="false">TRUE()</f>
        <v>1</v>
      </c>
      <c r="Z6" s="0" t="n">
        <v>9.36155175399891E-021</v>
      </c>
      <c r="AA6" s="0" t="n">
        <v>0.012465266822288</v>
      </c>
      <c r="AB6" s="0" t="n">
        <v>0.001491331839384</v>
      </c>
      <c r="AC6" s="0" t="n">
        <v>40.020880258793</v>
      </c>
      <c r="AD6" s="0" t="n">
        <v>0.593984848018228</v>
      </c>
    </row>
    <row r="7" customFormat="false" ht="15" hidden="false" customHeight="false" outlineLevel="0" collapsed="false">
      <c r="A7" s="0" t="s">
        <v>155</v>
      </c>
      <c r="B7" s="0" t="s">
        <v>13</v>
      </c>
      <c r="C7" s="0" t="n">
        <v>13</v>
      </c>
      <c r="D7" s="0" t="n">
        <v>-0.0084163057006399</v>
      </c>
      <c r="E7" s="0" t="n">
        <v>0.208496253471709</v>
      </c>
      <c r="F7" s="0" t="n">
        <v>0.968464614882628</v>
      </c>
      <c r="G7" s="0" t="n">
        <v>58.44568718468</v>
      </c>
      <c r="H7" s="0" t="n">
        <v>4.32752347290233E-008</v>
      </c>
      <c r="I7" s="0" t="n">
        <v>-0.0188623913344424</v>
      </c>
      <c r="J7" s="0" t="n">
        <v>0.217721659372318</v>
      </c>
      <c r="K7" s="0" t="n">
        <v>0.932518288711952</v>
      </c>
      <c r="L7" s="0" t="n">
        <v>0.0042899166444847</v>
      </c>
      <c r="M7" s="0" t="n">
        <v>0.694483361995386</v>
      </c>
      <c r="N7" s="0" t="n">
        <v>0.0227353476472892</v>
      </c>
      <c r="O7" s="0" t="n">
        <v>0.150001290603609</v>
      </c>
      <c r="P7" s="0" t="n">
        <v>0.879527926285634</v>
      </c>
      <c r="Q7" s="0" t="n">
        <v>-0.0119592683558416</v>
      </c>
      <c r="R7" s="0" t="n">
        <v>0.132907951843141</v>
      </c>
      <c r="S7" s="0" t="n">
        <v>0.928301847364108</v>
      </c>
      <c r="T7" s="0" t="n">
        <v>0.0307056843405759</v>
      </c>
      <c r="U7" s="0" t="n">
        <v>0.146266306020198</v>
      </c>
      <c r="V7" s="0" t="n">
        <v>0.833722314141706</v>
      </c>
      <c r="W7" s="0" t="n">
        <v>0.0003332222592469</v>
      </c>
      <c r="X7" s="0" t="n">
        <v>3</v>
      </c>
      <c r="Y7" s="2" t="b">
        <f aca="false">TRUE()</f>
        <v>1</v>
      </c>
      <c r="Z7" s="0" t="n">
        <v>1.28239550004264E-040</v>
      </c>
      <c r="AA7" s="0" t="n">
        <v>0.014363034913023</v>
      </c>
      <c r="AB7" s="0" t="n">
        <v>0.0005866064403341</v>
      </c>
      <c r="AC7" s="0" t="n">
        <v>42.5711566352044</v>
      </c>
      <c r="AD7" s="0" t="n">
        <v>0.968464614882628</v>
      </c>
    </row>
    <row r="8" customFormat="false" ht="15" hidden="false" customHeight="false" outlineLevel="0" collapsed="false">
      <c r="A8" s="0" t="s">
        <v>156</v>
      </c>
      <c r="B8" s="0" t="s">
        <v>17</v>
      </c>
      <c r="C8" s="0" t="n">
        <v>30</v>
      </c>
      <c r="D8" s="0" t="n">
        <v>0.1229917992022</v>
      </c>
      <c r="E8" s="0" t="n">
        <v>0.0869368711934502</v>
      </c>
      <c r="F8" s="0" t="n">
        <v>0.167797274011686</v>
      </c>
      <c r="G8" s="0" t="n">
        <v>76.3337766250965</v>
      </c>
      <c r="H8" s="0" t="n">
        <v>3.93233985562791E-006</v>
      </c>
      <c r="I8" s="0" t="n">
        <v>0.108410361263062</v>
      </c>
      <c r="J8" s="0" t="n">
        <v>0.0903017876281813</v>
      </c>
      <c r="K8" s="0" t="n">
        <v>0.239990596744459</v>
      </c>
      <c r="L8" s="0" t="n">
        <v>0.0043832202660077</v>
      </c>
      <c r="M8" s="0" t="n">
        <v>0.499839021380404</v>
      </c>
      <c r="N8" s="0" t="n">
        <v>0.188789392908877</v>
      </c>
      <c r="O8" s="0" t="n">
        <v>0.130133037177801</v>
      </c>
      <c r="P8" s="0" t="n">
        <v>0.146851864773485</v>
      </c>
      <c r="Q8" s="0" t="n">
        <v>0.258679045298805</v>
      </c>
      <c r="R8" s="0" t="n">
        <v>0.0976153510802328</v>
      </c>
      <c r="S8" s="0" t="n">
        <v>0.0080495761561649</v>
      </c>
      <c r="T8" s="0" t="n">
        <v>0.221387650436969</v>
      </c>
      <c r="U8" s="0" t="n">
        <v>0.206252513820415</v>
      </c>
      <c r="V8" s="0" t="n">
        <v>0.283099942895323</v>
      </c>
      <c r="W8" s="0" t="n">
        <v>0.0003332222592469</v>
      </c>
      <c r="X8" s="0" t="n">
        <v>6</v>
      </c>
      <c r="Y8" s="2" t="b">
        <f aca="false">TRUE()</f>
        <v>1</v>
      </c>
      <c r="Z8" s="0" t="n">
        <v>8.5166900715581E-205</v>
      </c>
      <c r="AA8" s="0" t="n">
        <v>0.0535547776838634</v>
      </c>
      <c r="AB8" s="0" t="n">
        <v>0.0002415849778683</v>
      </c>
      <c r="AC8" s="0" t="n">
        <v>68.8716703847225</v>
      </c>
      <c r="AD8" s="0" t="n">
        <v>0.33482340183315</v>
      </c>
    </row>
    <row r="9" customFormat="false" ht="15" hidden="false" customHeight="false" outlineLevel="0" collapsed="false">
      <c r="A9" s="0" t="s">
        <v>156</v>
      </c>
      <c r="B9" s="0" t="s">
        <v>51</v>
      </c>
      <c r="C9" s="0" t="n">
        <v>30</v>
      </c>
      <c r="D9" s="0" t="n">
        <v>0.147907545781865</v>
      </c>
      <c r="E9" s="0" t="n">
        <v>0.0584498338110215</v>
      </c>
      <c r="F9" s="0" t="n">
        <v>0.0170748398715663</v>
      </c>
      <c r="G9" s="0" t="n">
        <v>43.3317565922317</v>
      </c>
      <c r="H9" s="0" t="n">
        <v>0.0424131950848504</v>
      </c>
      <c r="I9" s="0" t="n">
        <v>0.141185398836448</v>
      </c>
      <c r="J9" s="0" t="n">
        <v>0.0609568478178236</v>
      </c>
      <c r="K9" s="0" t="n">
        <v>0.0280897971733688</v>
      </c>
      <c r="L9" s="0" t="n">
        <v>0.0020286820513115</v>
      </c>
      <c r="M9" s="0" t="n">
        <v>0.642336101576117</v>
      </c>
      <c r="N9" s="0" t="n">
        <v>0.113489481147176</v>
      </c>
      <c r="O9" s="0" t="n">
        <v>0.119442003617089</v>
      </c>
      <c r="P9" s="0" t="n">
        <v>0.342028973580048</v>
      </c>
      <c r="Q9" s="0" t="n">
        <v>-0.0202603719735027</v>
      </c>
      <c r="R9" s="0" t="n">
        <v>0.227002828565506</v>
      </c>
      <c r="S9" s="0" t="n">
        <v>0.92888193597166</v>
      </c>
      <c r="T9" s="0" t="n">
        <v>-0.0240146529471058</v>
      </c>
      <c r="U9" s="0" t="n">
        <v>0.183534868204722</v>
      </c>
      <c r="V9" s="0" t="n">
        <v>0.895897781385006</v>
      </c>
      <c r="W9" s="0" t="n">
        <v>0.0476507830723092</v>
      </c>
      <c r="X9" s="0" t="n">
        <v>3</v>
      </c>
      <c r="Y9" s="2" t="b">
        <f aca="false">TRUE()</f>
        <v>1</v>
      </c>
      <c r="Z9" s="0" t="n">
        <v>2.04984151094011E-210</v>
      </c>
      <c r="AA9" s="0" t="n">
        <v>0.0535547776838634</v>
      </c>
      <c r="AB9" s="0" t="n">
        <v>0.0001565857330132</v>
      </c>
      <c r="AC9" s="0" t="n">
        <v>68.8716703847225</v>
      </c>
      <c r="AD9" s="0" t="n">
        <v>0.107722499706462</v>
      </c>
    </row>
    <row r="10" customFormat="false" ht="15" hidden="false" customHeight="false" outlineLevel="0" collapsed="false">
      <c r="A10" s="0" t="s">
        <v>156</v>
      </c>
      <c r="B10" s="0" t="s">
        <v>47</v>
      </c>
      <c r="C10" s="0" t="n">
        <v>30</v>
      </c>
      <c r="D10" s="0" t="n">
        <v>0.0895323018909047</v>
      </c>
      <c r="E10" s="0" t="n">
        <v>0.0708895667694704</v>
      </c>
      <c r="F10" s="0" t="n">
        <v>0.216656131344408</v>
      </c>
      <c r="G10" s="0" t="n">
        <v>34.8212449721209</v>
      </c>
      <c r="H10" s="0" t="n">
        <v>0.210469589546941</v>
      </c>
      <c r="I10" s="0" t="n">
        <v>0.11511458956938</v>
      </c>
      <c r="J10" s="0" t="n">
        <v>0.0712285836156405</v>
      </c>
      <c r="K10" s="0" t="n">
        <v>0.117279506565976</v>
      </c>
      <c r="L10" s="0" t="n">
        <v>-0.0077883762315519</v>
      </c>
      <c r="M10" s="0" t="n">
        <v>0.134548727867516</v>
      </c>
      <c r="N10" s="0" t="n">
        <v>-0.0018216531967895</v>
      </c>
      <c r="O10" s="0" t="n">
        <v>0.140475335293833</v>
      </c>
      <c r="P10" s="0" t="n">
        <v>0.989653498799976</v>
      </c>
      <c r="Q10" s="0" t="n">
        <v>0.331792720627297</v>
      </c>
      <c r="R10" s="0" t="n">
        <v>0.207473084402042</v>
      </c>
      <c r="S10" s="0" t="n">
        <v>0.109774281723351</v>
      </c>
      <c r="T10" s="0" t="n">
        <v>0.0293974385356521</v>
      </c>
      <c r="U10" s="0" t="n">
        <v>0.196166428873614</v>
      </c>
      <c r="V10" s="0" t="n">
        <v>0.880875321985919</v>
      </c>
      <c r="W10" s="0" t="n">
        <v>0.210929690103299</v>
      </c>
      <c r="X10" s="0" t="n">
        <v>1</v>
      </c>
      <c r="Y10" s="2" t="b">
        <f aca="false">TRUE()</f>
        <v>1</v>
      </c>
      <c r="Z10" s="0" t="n">
        <v>1.17558453664747E-195</v>
      </c>
      <c r="AA10" s="0" t="n">
        <v>0.0535547776838634</v>
      </c>
      <c r="AB10" s="0" t="n">
        <v>0.0004227827105746</v>
      </c>
      <c r="AC10" s="0" t="n">
        <v>68.8716703847225</v>
      </c>
      <c r="AD10" s="0" t="n">
        <v>0.371008861408194</v>
      </c>
    </row>
    <row r="11" customFormat="false" ht="15" hidden="false" customHeight="false" outlineLevel="0" collapsed="false">
      <c r="A11" s="0" t="s">
        <v>156</v>
      </c>
      <c r="B11" s="0" t="s">
        <v>73</v>
      </c>
      <c r="C11" s="0" t="n">
        <v>30</v>
      </c>
      <c r="D11" s="0" t="n">
        <v>-0.0372674098352715</v>
      </c>
      <c r="E11" s="0" t="n">
        <v>0.0763127438556891</v>
      </c>
      <c r="F11" s="0" t="n">
        <v>0.628973636545936</v>
      </c>
      <c r="G11" s="0" t="n">
        <v>42.5709886801212</v>
      </c>
      <c r="H11" s="0" t="n">
        <v>0.0498528391796389</v>
      </c>
      <c r="I11" s="0" t="n">
        <v>-0.0351399544238856</v>
      </c>
      <c r="J11" s="0" t="n">
        <v>0.0798644301974154</v>
      </c>
      <c r="K11" s="0" t="n">
        <v>0.663318459859409</v>
      </c>
      <c r="L11" s="0" t="n">
        <v>-0.0006447872421858</v>
      </c>
      <c r="M11" s="0" t="n">
        <v>0.910208724877744</v>
      </c>
      <c r="N11" s="0" t="n">
        <v>0.0533913382563316</v>
      </c>
      <c r="O11" s="0" t="n">
        <v>0.0819574719070602</v>
      </c>
      <c r="P11" s="0" t="n">
        <v>0.514754915917772</v>
      </c>
      <c r="Q11" s="0" t="n">
        <v>0.0965674587261156</v>
      </c>
      <c r="R11" s="0" t="n">
        <v>0.0844190235362394</v>
      </c>
      <c r="S11" s="0" t="n">
        <v>0.252662469241629</v>
      </c>
      <c r="T11" s="0" t="n">
        <v>0.0574029672791245</v>
      </c>
      <c r="U11" s="0" t="n">
        <v>0.0880226048766032</v>
      </c>
      <c r="V11" s="0" t="n">
        <v>0.514311552717199</v>
      </c>
      <c r="W11" s="0" t="n">
        <v>0.056647784071976</v>
      </c>
      <c r="X11" s="0" t="n">
        <v>2</v>
      </c>
      <c r="Y11" s="2" t="b">
        <f aca="false">TRUE()</f>
        <v>1</v>
      </c>
      <c r="Z11" s="0" t="n">
        <v>8.89165747235471E-216</v>
      </c>
      <c r="AA11" s="0" t="n">
        <v>0.0535547776838634</v>
      </c>
      <c r="AB11" s="0" t="n">
        <v>9.33034016289537E-005</v>
      </c>
      <c r="AC11" s="0" t="n">
        <v>68.8716703847225</v>
      </c>
      <c r="AD11" s="0" t="n">
        <v>0.707595341114178</v>
      </c>
    </row>
    <row r="12" customFormat="false" ht="15" hidden="false" customHeight="false" outlineLevel="0" collapsed="false">
      <c r="A12" s="0" t="s">
        <v>156</v>
      </c>
      <c r="B12" s="0" t="s">
        <v>9</v>
      </c>
      <c r="C12" s="0" t="n">
        <v>30</v>
      </c>
      <c r="D12" s="0" t="n">
        <v>0.0558472895548388</v>
      </c>
      <c r="E12" s="0" t="n">
        <v>0.0965294241393291</v>
      </c>
      <c r="F12" s="0" t="n">
        <v>0.567357993435735</v>
      </c>
      <c r="G12" s="0" t="n">
        <v>95.7735415009161</v>
      </c>
      <c r="H12" s="0" t="n">
        <v>4.58907756240023E-009</v>
      </c>
      <c r="I12" s="0" t="n">
        <v>0.0392096643698355</v>
      </c>
      <c r="J12" s="0" t="n">
        <v>0.101047123074617</v>
      </c>
      <c r="K12" s="0" t="n">
        <v>0.700925784272171</v>
      </c>
      <c r="L12" s="0" t="n">
        <v>0.0044990251497844</v>
      </c>
      <c r="M12" s="0" t="n">
        <v>0.533132101730748</v>
      </c>
      <c r="N12" s="0" t="n">
        <v>0.0159890489612938</v>
      </c>
      <c r="O12" s="0" t="n">
        <v>0.101941866780223</v>
      </c>
      <c r="P12" s="0" t="n">
        <v>0.875367185703466</v>
      </c>
      <c r="Q12" s="0" t="n">
        <v>0.0749181126419633</v>
      </c>
      <c r="R12" s="0" t="n">
        <v>0.136009326359997</v>
      </c>
      <c r="S12" s="0" t="n">
        <v>0.581749735869852</v>
      </c>
      <c r="T12" s="0" t="n">
        <v>0.0468302645806841</v>
      </c>
      <c r="U12" s="0" t="n">
        <v>0.145039655446554</v>
      </c>
      <c r="V12" s="0" t="n">
        <v>0.746786851209299</v>
      </c>
      <c r="W12" s="0" t="n">
        <v>0.0003332222592469</v>
      </c>
      <c r="X12" s="0" t="n">
        <v>6</v>
      </c>
      <c r="Y12" s="2" t="b">
        <f aca="false">TRUE()</f>
        <v>1</v>
      </c>
      <c r="Z12" s="0" t="n">
        <v>1.64693453951874E-118</v>
      </c>
      <c r="AA12" s="0" t="n">
        <v>0.0540409943198677</v>
      </c>
      <c r="AB12" s="0" t="n">
        <v>0.0029942941722625</v>
      </c>
      <c r="AC12" s="0" t="n">
        <v>69.4969438686638</v>
      </c>
      <c r="AD12" s="0" t="n">
        <v>0.666028948815863</v>
      </c>
    </row>
    <row r="13" customFormat="false" ht="15" hidden="false" customHeight="false" outlineLevel="0" collapsed="false">
      <c r="A13" s="0" t="s">
        <v>156</v>
      </c>
      <c r="B13" s="0" t="s">
        <v>13</v>
      </c>
      <c r="C13" s="0" t="n">
        <v>32</v>
      </c>
      <c r="D13" s="0" t="n">
        <v>0.0041276083130129</v>
      </c>
      <c r="E13" s="0" t="n">
        <v>0.0547414470680861</v>
      </c>
      <c r="F13" s="0" t="n">
        <v>0.940379462583814</v>
      </c>
      <c r="G13" s="0" t="n">
        <v>54.4321871613086</v>
      </c>
      <c r="H13" s="0" t="n">
        <v>0.0057706311764209</v>
      </c>
      <c r="I13" s="0" t="n">
        <v>0.0145509819111943</v>
      </c>
      <c r="J13" s="0" t="n">
        <v>0.0566684712750675</v>
      </c>
      <c r="K13" s="0" t="n">
        <v>0.799106208687136</v>
      </c>
      <c r="L13" s="0" t="n">
        <v>-0.0031145244996059</v>
      </c>
      <c r="M13" s="0" t="n">
        <v>0.439387899407421</v>
      </c>
      <c r="N13" s="0" t="n">
        <v>-0.0506337620542934</v>
      </c>
      <c r="O13" s="0" t="n">
        <v>0.0425929661558698</v>
      </c>
      <c r="P13" s="0" t="n">
        <v>0.234525365364769</v>
      </c>
      <c r="Q13" s="0" t="n">
        <v>-0.103164164353604</v>
      </c>
      <c r="R13" s="0" t="n">
        <v>0.0842511378296431</v>
      </c>
      <c r="S13" s="0" t="n">
        <v>0.220769724888587</v>
      </c>
      <c r="T13" s="0" t="n">
        <v>-0.0622506502032539</v>
      </c>
      <c r="U13" s="0" t="n">
        <v>0.0593847707398103</v>
      </c>
      <c r="V13" s="0" t="n">
        <v>0.294519062805182</v>
      </c>
      <c r="W13" s="0" t="n">
        <v>0.0073308897034321</v>
      </c>
      <c r="X13" s="0" t="n">
        <v>4</v>
      </c>
      <c r="Y13" s="2" t="b">
        <f aca="false">TRUE()</f>
        <v>1</v>
      </c>
      <c r="Z13" s="0" t="n">
        <v>6.68422480508035E-200</v>
      </c>
      <c r="AA13" s="0" t="n">
        <v>0.055839592125804</v>
      </c>
      <c r="AB13" s="0" t="n">
        <v>0.0005467075149681</v>
      </c>
      <c r="AC13" s="0" t="n">
        <v>67.3184288689577</v>
      </c>
      <c r="AD13" s="0" t="n">
        <v>0.968464614882628</v>
      </c>
    </row>
    <row r="14" customFormat="false" ht="15" hidden="false" customHeight="false" outlineLevel="0" collapsed="false">
      <c r="A14" s="0" t="s">
        <v>157</v>
      </c>
      <c r="B14" s="0" t="s">
        <v>17</v>
      </c>
      <c r="C14" s="0" t="n">
        <v>32</v>
      </c>
      <c r="D14" s="0" t="n">
        <v>0.196957515017865</v>
      </c>
      <c r="E14" s="0" t="n">
        <v>0.0929152568045327</v>
      </c>
      <c r="F14" s="0" t="n">
        <v>0.0421356282590837</v>
      </c>
      <c r="G14" s="0" t="n">
        <v>84.9951938568306</v>
      </c>
      <c r="H14" s="0" t="n">
        <v>6.36767716555298E-007</v>
      </c>
      <c r="I14" s="0" t="n">
        <v>0.184281062268885</v>
      </c>
      <c r="J14" s="0" t="n">
        <v>0.0953856263588452</v>
      </c>
      <c r="K14" s="0" t="n">
        <v>0.0628575337749159</v>
      </c>
      <c r="L14" s="0" t="n">
        <v>0.0045005972002472</v>
      </c>
      <c r="M14" s="0" t="n">
        <v>0.486006822854425</v>
      </c>
      <c r="N14" s="0" t="n">
        <v>0.211830131465754</v>
      </c>
      <c r="O14" s="0" t="n">
        <v>0.141449993931803</v>
      </c>
      <c r="P14" s="0" t="n">
        <v>0.134247093853617</v>
      </c>
      <c r="Q14" s="0" t="n">
        <v>0.255269142338765</v>
      </c>
      <c r="R14" s="0" t="n">
        <v>0.0904389452408163</v>
      </c>
      <c r="S14" s="0" t="n">
        <v>0.0047642246405054</v>
      </c>
      <c r="T14" s="0" t="n">
        <v>0.187985779250307</v>
      </c>
      <c r="U14" s="0" t="n">
        <v>0.173177534806238</v>
      </c>
      <c r="V14" s="0" t="n">
        <v>0.277696262822891</v>
      </c>
      <c r="W14" s="0" t="n">
        <v>0.0003332222592469</v>
      </c>
      <c r="X14" s="0" t="n">
        <v>7</v>
      </c>
      <c r="Y14" s="2" t="b">
        <f aca="false">TRUE()</f>
        <v>1</v>
      </c>
      <c r="Z14" s="0" t="n">
        <v>6.32976672418481E-206</v>
      </c>
      <c r="AA14" s="0" t="n">
        <v>0.0544530559331279</v>
      </c>
      <c r="AB14" s="0" t="n">
        <v>0.0002881008514503</v>
      </c>
      <c r="AC14" s="0" t="n">
        <v>65.6787207944145</v>
      </c>
      <c r="AD14" s="0" t="n">
        <v>0.133842583881795</v>
      </c>
    </row>
    <row r="15" customFormat="false" ht="15" hidden="false" customHeight="false" outlineLevel="0" collapsed="false">
      <c r="A15" s="0" t="s">
        <v>157</v>
      </c>
      <c r="B15" s="0" t="s">
        <v>51</v>
      </c>
      <c r="C15" s="0" t="n">
        <v>32</v>
      </c>
      <c r="D15" s="0" t="n">
        <v>0.214733374218026</v>
      </c>
      <c r="E15" s="0" t="n">
        <v>0.0654720862394694</v>
      </c>
      <c r="F15" s="0" t="n">
        <v>0.0025698735721545</v>
      </c>
      <c r="G15" s="0" t="n">
        <v>52.9764337121174</v>
      </c>
      <c r="H15" s="0" t="n">
        <v>0.0082681585476002</v>
      </c>
      <c r="I15" s="0" t="n">
        <v>0.209628155069485</v>
      </c>
      <c r="J15" s="0" t="n">
        <v>0.0675763574113424</v>
      </c>
      <c r="K15" s="0" t="n">
        <v>0.0041622301036354</v>
      </c>
      <c r="L15" s="0" t="n">
        <v>0.001816245626973</v>
      </c>
      <c r="M15" s="0" t="n">
        <v>0.690167497384032</v>
      </c>
      <c r="N15" s="0" t="n">
        <v>0.174071365738996</v>
      </c>
      <c r="O15" s="0" t="n">
        <v>0.140298297866255</v>
      </c>
      <c r="P15" s="0" t="n">
        <v>0.214707987457972</v>
      </c>
      <c r="Q15" s="0" t="n">
        <v>0.497369135811106</v>
      </c>
      <c r="R15" s="0" t="n">
        <v>0.26677461157194</v>
      </c>
      <c r="S15" s="0" t="n">
        <v>0.0622684197080789</v>
      </c>
      <c r="T15" s="0" t="n">
        <v>0.0453509019302387</v>
      </c>
      <c r="U15" s="0" t="n">
        <v>0.200584864418788</v>
      </c>
      <c r="V15" s="0" t="n">
        <v>0.821128824475663</v>
      </c>
      <c r="W15" s="0" t="n">
        <v>0.0099966677774075</v>
      </c>
      <c r="X15" s="0" t="n">
        <v>4</v>
      </c>
      <c r="Y15" s="2" t="b">
        <f aca="false">TRUE()</f>
        <v>1</v>
      </c>
      <c r="Z15" s="0" t="n">
        <v>1.86078163537004E-210</v>
      </c>
      <c r="AA15" s="0" t="n">
        <v>0.0544530559331279</v>
      </c>
      <c r="AB15" s="0" t="n">
        <v>0.0002112257603704</v>
      </c>
      <c r="AC15" s="0" t="n">
        <v>65.6787207944145</v>
      </c>
      <c r="AD15" s="0" t="n">
        <v>0.046257724298781</v>
      </c>
    </row>
    <row r="16" customFormat="false" ht="15" hidden="false" customHeight="false" outlineLevel="0" collapsed="false">
      <c r="A16" s="0" t="s">
        <v>157</v>
      </c>
      <c r="B16" s="0" t="s">
        <v>47</v>
      </c>
      <c r="C16" s="0" t="n">
        <v>32</v>
      </c>
      <c r="D16" s="0" t="n">
        <v>0.0539032200024546</v>
      </c>
      <c r="E16" s="0" t="n">
        <v>0.0861418052231652</v>
      </c>
      <c r="F16" s="0" t="n">
        <v>0.536059244676572</v>
      </c>
      <c r="G16" s="0" t="n">
        <v>49.9412021845013</v>
      </c>
      <c r="H16" s="0" t="n">
        <v>0.0169858005476187</v>
      </c>
      <c r="I16" s="0" t="n">
        <v>0.0637701331521358</v>
      </c>
      <c r="J16" s="0" t="n">
        <v>0.0886223311746453</v>
      </c>
      <c r="K16" s="0" t="n">
        <v>0.477357334802406</v>
      </c>
      <c r="L16" s="0" t="n">
        <v>-0.0035192683878168</v>
      </c>
      <c r="M16" s="0" t="n">
        <v>0.556625351014519</v>
      </c>
      <c r="N16" s="0" t="n">
        <v>-0.0455830666055519</v>
      </c>
      <c r="O16" s="0" t="n">
        <v>0.166390628554136</v>
      </c>
      <c r="P16" s="0" t="n">
        <v>0.784121411759637</v>
      </c>
      <c r="Q16" s="0" t="n">
        <v>0.38975558885703</v>
      </c>
      <c r="R16" s="0" t="n">
        <v>0.338640201505941</v>
      </c>
      <c r="S16" s="0" t="n">
        <v>0.249755662462634</v>
      </c>
      <c r="T16" s="0" t="n">
        <v>-0.0369105440839538</v>
      </c>
      <c r="U16" s="0" t="n">
        <v>0.231461884330803</v>
      </c>
      <c r="V16" s="0" t="n">
        <v>0.873300915695513</v>
      </c>
      <c r="W16" s="0" t="n">
        <v>0.0196601132955681</v>
      </c>
      <c r="X16" s="0" t="n">
        <v>2</v>
      </c>
      <c r="Y16" s="2" t="b">
        <f aca="false">TRUE()</f>
        <v>1</v>
      </c>
      <c r="Z16" s="0" t="n">
        <v>6.29990866906532E-193</v>
      </c>
      <c r="AA16" s="0" t="n">
        <v>0.0544530559331279</v>
      </c>
      <c r="AB16" s="0" t="n">
        <v>0.0005820054807069</v>
      </c>
      <c r="AC16" s="0" t="n">
        <v>65.6787207944145</v>
      </c>
      <c r="AD16" s="0" t="n">
        <v>0.643271093611886</v>
      </c>
    </row>
    <row r="17" customFormat="false" ht="15" hidden="false" customHeight="false" outlineLevel="0" collapsed="false">
      <c r="A17" s="0" t="s">
        <v>157</v>
      </c>
      <c r="B17" s="0" t="s">
        <v>73</v>
      </c>
      <c r="C17" s="0" t="n">
        <v>32</v>
      </c>
      <c r="D17" s="0" t="n">
        <v>0.157004982593275</v>
      </c>
      <c r="E17" s="0" t="n">
        <v>0.0660690945134468</v>
      </c>
      <c r="F17" s="0" t="n">
        <v>0.0238433932656086</v>
      </c>
      <c r="G17" s="0" t="n">
        <v>27.4352138864026</v>
      </c>
      <c r="H17" s="0" t="n">
        <v>0.65014734411274</v>
      </c>
      <c r="I17" s="0" t="n">
        <v>0.144586310914454</v>
      </c>
      <c r="J17" s="0" t="n">
        <v>0.0672407875410845</v>
      </c>
      <c r="K17" s="0" t="n">
        <v>0.0397150916338028</v>
      </c>
      <c r="L17" s="0" t="n">
        <v>0.0044634386961112</v>
      </c>
      <c r="M17" s="0" t="n">
        <v>0.328336768118463</v>
      </c>
      <c r="N17" s="0" t="n">
        <v>0.107747228928749</v>
      </c>
      <c r="O17" s="0" t="n">
        <v>0.116653988559726</v>
      </c>
      <c r="P17" s="0" t="n">
        <v>0.355669588551584</v>
      </c>
      <c r="Q17" s="0" t="n">
        <v>0.249817034045722</v>
      </c>
      <c r="R17" s="0" t="n">
        <v>0.0965338612517221</v>
      </c>
      <c r="S17" s="0" t="n">
        <v>0.0096571562792735</v>
      </c>
      <c r="T17" s="0" t="n">
        <v>0.136085912630848</v>
      </c>
      <c r="U17" s="0" t="n">
        <v>0.155077971474328</v>
      </c>
      <c r="V17" s="0" t="n">
        <v>0.380197640058511</v>
      </c>
      <c r="W17" s="0" t="n">
        <v>0.655448183938687</v>
      </c>
      <c r="X17" s="0" t="n">
        <v>2</v>
      </c>
      <c r="Y17" s="2" t="b">
        <f aca="false">TRUE()</f>
        <v>1</v>
      </c>
      <c r="Z17" s="0" t="n">
        <v>6.50981792449489E-222</v>
      </c>
      <c r="AA17" s="0" t="n">
        <v>0.0544530559331279</v>
      </c>
      <c r="AB17" s="0" t="n">
        <v>7.19164194735684E-005</v>
      </c>
      <c r="AC17" s="0" t="n">
        <v>65.6787207944145</v>
      </c>
      <c r="AD17" s="0" t="n">
        <v>0.107722499706462</v>
      </c>
    </row>
    <row r="18" customFormat="false" ht="15" hidden="false" customHeight="false" outlineLevel="0" collapsed="false">
      <c r="A18" s="0" t="s">
        <v>157</v>
      </c>
      <c r="B18" s="0" t="s">
        <v>9</v>
      </c>
      <c r="C18" s="0" t="n">
        <v>34</v>
      </c>
      <c r="D18" s="0" t="n">
        <v>0.0757479957650639</v>
      </c>
      <c r="E18" s="0" t="n">
        <v>0.105441521544194</v>
      </c>
      <c r="F18" s="0" t="n">
        <v>0.477573510930348</v>
      </c>
      <c r="G18" s="0" t="n">
        <v>125.898046658806</v>
      </c>
      <c r="H18" s="0" t="n">
        <v>8.92619311798626E-013</v>
      </c>
      <c r="I18" s="0" t="n">
        <v>0.06449755910809</v>
      </c>
      <c r="J18" s="0" t="n">
        <v>0.108114362482101</v>
      </c>
      <c r="K18" s="0" t="n">
        <v>0.554993234437266</v>
      </c>
      <c r="L18" s="0" t="n">
        <v>0.004276199467858</v>
      </c>
      <c r="M18" s="0" t="n">
        <v>0.552453196177243</v>
      </c>
      <c r="N18" s="0" t="n">
        <v>0.0590343694247649</v>
      </c>
      <c r="O18" s="0" t="n">
        <v>0.107414603091305</v>
      </c>
      <c r="P18" s="0" t="n">
        <v>0.582598206847963</v>
      </c>
      <c r="Q18" s="0" t="n">
        <v>0.123074688228579</v>
      </c>
      <c r="R18" s="0" t="n">
        <v>0.105303508512349</v>
      </c>
      <c r="S18" s="0" t="n">
        <v>0.242499729570673</v>
      </c>
      <c r="T18" s="0" t="n">
        <v>0.114131687394937</v>
      </c>
      <c r="U18" s="0" t="n">
        <v>0.171227806518749</v>
      </c>
      <c r="V18" s="0" t="n">
        <v>0.505060388442031</v>
      </c>
      <c r="W18" s="0" t="n">
        <v>0.0003332222592469</v>
      </c>
      <c r="X18" s="0" t="n">
        <v>7</v>
      </c>
      <c r="Y18" s="2" t="b">
        <f aca="false">TRUE()</f>
        <v>1</v>
      </c>
      <c r="Z18" s="0" t="n">
        <v>9.37880422247069E-116</v>
      </c>
      <c r="AA18" s="0" t="n">
        <v>0.0567094896324476</v>
      </c>
      <c r="AB18" s="0" t="n">
        <v>0.0039512970515594</v>
      </c>
      <c r="AC18" s="0" t="n">
        <v>64.3722589150129</v>
      </c>
      <c r="AD18" s="0" t="n">
        <v>0.614023085481876</v>
      </c>
    </row>
    <row r="19" customFormat="false" ht="15" hidden="false" customHeight="false" outlineLevel="0" collapsed="false">
      <c r="A19" s="0" t="s">
        <v>157</v>
      </c>
      <c r="B19" s="0" t="s">
        <v>13</v>
      </c>
      <c r="C19" s="0" t="n">
        <v>34</v>
      </c>
      <c r="D19" s="0" t="n">
        <v>0.0887000958313778</v>
      </c>
      <c r="E19" s="0" t="n">
        <v>0.063779067008468</v>
      </c>
      <c r="F19" s="0" t="n">
        <v>0.173612134283856</v>
      </c>
      <c r="G19" s="0" t="n">
        <v>73.583850310592</v>
      </c>
      <c r="H19" s="0" t="n">
        <v>6.31284874750282E-005</v>
      </c>
      <c r="I19" s="0" t="n">
        <v>0.095113789398838</v>
      </c>
      <c r="J19" s="0" t="n">
        <v>0.0653540477283069</v>
      </c>
      <c r="K19" s="0" t="n">
        <v>0.155309980408715</v>
      </c>
      <c r="L19" s="0" t="n">
        <v>-0.0025235242162865</v>
      </c>
      <c r="M19" s="0" t="n">
        <v>0.563184817300603</v>
      </c>
      <c r="N19" s="0" t="n">
        <v>-0.0260245487943726</v>
      </c>
      <c r="O19" s="0" t="n">
        <v>0.0617346435443786</v>
      </c>
      <c r="P19" s="0" t="n">
        <v>0.673349844689185</v>
      </c>
      <c r="Q19" s="0" t="n">
        <v>-0.0145176058133926</v>
      </c>
      <c r="R19" s="0" t="n">
        <v>0.0586565422315334</v>
      </c>
      <c r="S19" s="0" t="n">
        <v>0.804519819086591</v>
      </c>
      <c r="T19" s="0" t="n">
        <v>-0.0107278706881064</v>
      </c>
      <c r="U19" s="0" t="n">
        <v>0.0438467130266227</v>
      </c>
      <c r="V19" s="0" t="n">
        <v>0.80671380573023</v>
      </c>
      <c r="W19" s="0" t="n">
        <v>0.0003332222592469</v>
      </c>
      <c r="X19" s="0" t="n">
        <v>3</v>
      </c>
      <c r="Y19" s="2" t="b">
        <f aca="false">TRUE()</f>
        <v>1</v>
      </c>
      <c r="Z19" s="0" t="n">
        <v>3.98502630683116E-195</v>
      </c>
      <c r="AA19" s="0" t="n">
        <v>0.0567094896324476</v>
      </c>
      <c r="AB19" s="0" t="n">
        <v>0.0007819041648991</v>
      </c>
      <c r="AC19" s="0" t="n">
        <v>64.3722589150129</v>
      </c>
      <c r="AD19" s="0" t="n">
        <v>0.33482340183315</v>
      </c>
    </row>
    <row r="20" customFormat="false" ht="15" hidden="false" customHeight="false" outlineLevel="0" collapsed="false">
      <c r="A20" s="0" t="s">
        <v>158</v>
      </c>
      <c r="B20" s="0" t="s">
        <v>17</v>
      </c>
      <c r="C20" s="0" t="n">
        <v>51</v>
      </c>
      <c r="D20" s="0" t="n">
        <v>0.142020418354102</v>
      </c>
      <c r="E20" s="0" t="n">
        <v>0.0588447139696617</v>
      </c>
      <c r="F20" s="0" t="n">
        <v>0.0195066648591065</v>
      </c>
      <c r="G20" s="0" t="n">
        <v>94.4284509068898</v>
      </c>
      <c r="H20" s="0" t="n">
        <v>0.000148606015244</v>
      </c>
      <c r="I20" s="0" t="n">
        <v>0.139004556789205</v>
      </c>
      <c r="J20" s="0" t="n">
        <v>0.0585958674184295</v>
      </c>
      <c r="K20" s="0" t="n">
        <v>0.0216505495145341</v>
      </c>
      <c r="L20" s="0" t="n">
        <v>0.0053309440770279</v>
      </c>
      <c r="M20" s="0" t="n">
        <v>0.224408532609899</v>
      </c>
      <c r="N20" s="0" t="n">
        <v>0.229326853037341</v>
      </c>
      <c r="O20" s="0" t="n">
        <v>0.133114725622659</v>
      </c>
      <c r="P20" s="0" t="n">
        <v>0.0849290425333231</v>
      </c>
      <c r="Q20" s="0" t="n">
        <v>0.136570176582348</v>
      </c>
      <c r="R20" s="0" t="n">
        <v>0.0582533288802482</v>
      </c>
      <c r="S20" s="0" t="n">
        <v>0.019056779580586</v>
      </c>
      <c r="T20" s="0" t="n">
        <v>0.266140306962682</v>
      </c>
      <c r="U20" s="0" t="n">
        <v>0.116987675065006</v>
      </c>
      <c r="V20" s="0" t="n">
        <v>0.0229093419637984</v>
      </c>
      <c r="W20" s="0" t="n">
        <v>0.0006664445184938</v>
      </c>
      <c r="X20" s="0" t="n">
        <v>8</v>
      </c>
      <c r="Y20" s="2" t="b">
        <f aca="false">TRUE()</f>
        <v>1</v>
      </c>
      <c r="Z20" s="0" t="n">
        <v>0</v>
      </c>
      <c r="AA20" s="0" t="n">
        <v>0.0901603951141137</v>
      </c>
      <c r="AB20" s="0" t="n">
        <v>0.0003121239318127</v>
      </c>
      <c r="AC20" s="0" t="n">
        <v>68.5170179283681</v>
      </c>
      <c r="AD20" s="0" t="n">
        <v>0.107722499706462</v>
      </c>
    </row>
    <row r="21" customFormat="false" ht="15" hidden="false" customHeight="false" outlineLevel="0" collapsed="false">
      <c r="A21" s="0" t="s">
        <v>158</v>
      </c>
      <c r="B21" s="0" t="s">
        <v>51</v>
      </c>
      <c r="C21" s="0" t="n">
        <v>51</v>
      </c>
      <c r="D21" s="0" t="n">
        <v>0.11534543916555</v>
      </c>
      <c r="E21" s="0" t="n">
        <v>0.0499693236105652</v>
      </c>
      <c r="F21" s="0" t="n">
        <v>0.0251549739093573</v>
      </c>
      <c r="G21" s="0" t="n">
        <v>85.1017150402763</v>
      </c>
      <c r="H21" s="0" t="n">
        <v>0.001437617535775</v>
      </c>
      <c r="I21" s="0" t="n">
        <v>0.117056619892385</v>
      </c>
      <c r="J21" s="0" t="n">
        <v>0.0501697692095355</v>
      </c>
      <c r="K21" s="0" t="n">
        <v>0.023785481231905</v>
      </c>
      <c r="L21" s="0" t="n">
        <v>-0.0030564130819489</v>
      </c>
      <c r="M21" s="0" t="n">
        <v>0.411688509912501</v>
      </c>
      <c r="N21" s="0" t="n">
        <v>0.172938142999865</v>
      </c>
      <c r="O21" s="0" t="n">
        <v>0.0867738391171167</v>
      </c>
      <c r="P21" s="0" t="n">
        <v>0.046264120348926</v>
      </c>
      <c r="Q21" s="0" t="n">
        <v>0.116268930237708</v>
      </c>
      <c r="R21" s="0" t="n">
        <v>0.131121445553135</v>
      </c>
      <c r="S21" s="0" t="n">
        <v>0.375225880998238</v>
      </c>
      <c r="T21" s="0" t="n">
        <v>0.146726801526082</v>
      </c>
      <c r="U21" s="0" t="n">
        <v>0.0896761405721027</v>
      </c>
      <c r="V21" s="0" t="n">
        <v>0.101800768722212</v>
      </c>
      <c r="W21" s="0" t="n">
        <v>0.0019993335554815</v>
      </c>
      <c r="X21" s="0" t="n">
        <v>7</v>
      </c>
      <c r="Y21" s="2" t="b">
        <f aca="false">TRUE()</f>
        <v>1</v>
      </c>
      <c r="Z21" s="0" t="n">
        <v>0</v>
      </c>
      <c r="AA21" s="0" t="n">
        <v>0.0901603951141137</v>
      </c>
      <c r="AB21" s="0" t="n">
        <v>0.0002787497947561</v>
      </c>
      <c r="AC21" s="0" t="n">
        <v>68.5170179283681</v>
      </c>
      <c r="AD21" s="0" t="n">
        <v>0.107722499706462</v>
      </c>
    </row>
    <row r="22" customFormat="false" ht="15" hidden="false" customHeight="false" outlineLevel="0" collapsed="false">
      <c r="A22" s="0" t="s">
        <v>158</v>
      </c>
      <c r="B22" s="0" t="s">
        <v>47</v>
      </c>
      <c r="C22" s="0" t="n">
        <v>51</v>
      </c>
      <c r="D22" s="0" t="n">
        <v>-0.0670018745018876</v>
      </c>
      <c r="E22" s="0" t="n">
        <v>0.0556300888167559</v>
      </c>
      <c r="F22" s="0" t="n">
        <v>0.2340985408624</v>
      </c>
      <c r="G22" s="0" t="n">
        <v>56.4504811698936</v>
      </c>
      <c r="H22" s="0" t="n">
        <v>0.24658711589807</v>
      </c>
      <c r="I22" s="0" t="n">
        <v>-0.0660002973274135</v>
      </c>
      <c r="J22" s="0" t="n">
        <v>0.0561398656954619</v>
      </c>
      <c r="K22" s="0" t="n">
        <v>0.245419330243676</v>
      </c>
      <c r="L22" s="0" t="n">
        <v>-0.0017478241766907</v>
      </c>
      <c r="M22" s="0" t="n">
        <v>0.6714783329165</v>
      </c>
      <c r="N22" s="0" t="n">
        <v>-0.0680810763560986</v>
      </c>
      <c r="O22" s="0" t="n">
        <v>0.0312956790775713</v>
      </c>
      <c r="P22" s="0" t="n">
        <v>0.0295990633725797</v>
      </c>
      <c r="Q22" s="0" t="n">
        <v>-0.0108869303678265</v>
      </c>
      <c r="R22" s="0" t="n">
        <v>0.091255599437645</v>
      </c>
      <c r="S22" s="0" t="n">
        <v>0.905036491066747</v>
      </c>
      <c r="T22" s="0" t="n">
        <v>-0.0752785928431412</v>
      </c>
      <c r="U22" s="0" t="n">
        <v>0.0475183683544467</v>
      </c>
      <c r="V22" s="0" t="n">
        <v>0.113148243485742</v>
      </c>
      <c r="W22" s="0" t="n">
        <v>0.253248917027657</v>
      </c>
      <c r="X22" s="0" t="n">
        <v>3</v>
      </c>
      <c r="Y22" s="2" t="b">
        <f aca="false">TRUE()</f>
        <v>1</v>
      </c>
      <c r="Z22" s="0" t="n">
        <v>0</v>
      </c>
      <c r="AA22" s="0" t="n">
        <v>0.0901603951141137</v>
      </c>
      <c r="AB22" s="0" t="n">
        <v>0.0006684965518231</v>
      </c>
      <c r="AC22" s="0" t="n">
        <v>68.5170179283681</v>
      </c>
      <c r="AD22" s="0" t="n">
        <v>0.371008861408194</v>
      </c>
    </row>
    <row r="23" customFormat="false" ht="15" hidden="false" customHeight="false" outlineLevel="0" collapsed="false">
      <c r="A23" s="0" t="s">
        <v>158</v>
      </c>
      <c r="B23" s="0" t="s">
        <v>73</v>
      </c>
      <c r="C23" s="0" t="n">
        <v>51</v>
      </c>
      <c r="D23" s="0" t="n">
        <v>0.0708812582158817</v>
      </c>
      <c r="E23" s="0" t="n">
        <v>0.058580412194397</v>
      </c>
      <c r="F23" s="0" t="n">
        <v>0.231975234434542</v>
      </c>
      <c r="G23" s="0" t="n">
        <v>66.6014859181396</v>
      </c>
      <c r="H23" s="0" t="n">
        <v>0.0581519152469197</v>
      </c>
      <c r="I23" s="0" t="n">
        <v>0.0718027802445454</v>
      </c>
      <c r="J23" s="0" t="n">
        <v>0.0591416281896489</v>
      </c>
      <c r="K23" s="0" t="n">
        <v>0.230535624887555</v>
      </c>
      <c r="L23" s="0" t="n">
        <v>-0.0016226904252799</v>
      </c>
      <c r="M23" s="0" t="n">
        <v>0.709412717651956</v>
      </c>
      <c r="N23" s="0" t="n">
        <v>0.116911758905554</v>
      </c>
      <c r="O23" s="0" t="n">
        <v>0.0549280381638699</v>
      </c>
      <c r="P23" s="0" t="n">
        <v>0.0332995258108038</v>
      </c>
      <c r="Q23" s="0" t="n">
        <v>0.0293941932063823</v>
      </c>
      <c r="R23" s="0" t="n">
        <v>0.122181832640601</v>
      </c>
      <c r="S23" s="0" t="n">
        <v>0.809882632559983</v>
      </c>
      <c r="T23" s="0" t="n">
        <v>0.107074546838847</v>
      </c>
      <c r="U23" s="0" t="n">
        <v>0.0715705293912509</v>
      </c>
      <c r="V23" s="0" t="n">
        <v>0.134635323920934</v>
      </c>
      <c r="W23" s="0" t="n">
        <v>0.0633122292569143</v>
      </c>
      <c r="X23" s="0" t="n">
        <v>3</v>
      </c>
      <c r="Y23" s="2" t="b">
        <f aca="false">TRUE()</f>
        <v>1</v>
      </c>
      <c r="Z23" s="0" t="n">
        <v>0</v>
      </c>
      <c r="AA23" s="0" t="n">
        <v>0.0901603951141137</v>
      </c>
      <c r="AB23" s="0" t="n">
        <v>0.0001490205447929</v>
      </c>
      <c r="AC23" s="0" t="n">
        <v>68.5170179283681</v>
      </c>
      <c r="AD23" s="0" t="n">
        <v>0.371008861408194</v>
      </c>
    </row>
    <row r="24" customFormat="false" ht="15" hidden="false" customHeight="false" outlineLevel="0" collapsed="false">
      <c r="A24" s="0" t="s">
        <v>158</v>
      </c>
      <c r="B24" s="0" t="s">
        <v>9</v>
      </c>
      <c r="C24" s="0" t="n">
        <v>53</v>
      </c>
      <c r="D24" s="0" t="n">
        <v>0.164929701284361</v>
      </c>
      <c r="E24" s="0" t="n">
        <v>0.0720381034312554</v>
      </c>
      <c r="F24" s="0" t="n">
        <v>0.0261415217242297</v>
      </c>
      <c r="G24" s="0" t="n">
        <v>151.298871048147</v>
      </c>
      <c r="H24" s="0" t="n">
        <v>1.24625865183248E-011</v>
      </c>
      <c r="I24" s="0" t="n">
        <v>0.156605573807042</v>
      </c>
      <c r="J24" s="0" t="n">
        <v>0.0696953479481121</v>
      </c>
      <c r="K24" s="0" t="n">
        <v>0.0289959409661647</v>
      </c>
      <c r="L24" s="0" t="n">
        <v>0.0110072238832766</v>
      </c>
      <c r="M24" s="0" t="n">
        <v>0.0344316274139283</v>
      </c>
      <c r="N24" s="0" t="n">
        <v>0.309676126920577</v>
      </c>
      <c r="O24" s="0" t="n">
        <v>0.10398330112062</v>
      </c>
      <c r="P24" s="0" t="n">
        <v>0.0029000986958828</v>
      </c>
      <c r="Q24" s="0" t="n">
        <v>0.173213625183414</v>
      </c>
      <c r="R24" s="0" t="n">
        <v>0.282713110403535</v>
      </c>
      <c r="S24" s="0" t="n">
        <v>0.540085711361833</v>
      </c>
      <c r="T24" s="0" t="n">
        <v>0.277115641324177</v>
      </c>
      <c r="U24" s="0" t="n">
        <v>0.1456040111447</v>
      </c>
      <c r="V24" s="0" t="n">
        <v>0.0570125833297777</v>
      </c>
      <c r="W24" s="0" t="n">
        <v>0.0003332222592469</v>
      </c>
      <c r="X24" s="0" t="n">
        <v>13</v>
      </c>
      <c r="Y24" s="2" t="b">
        <f aca="false">TRUE()</f>
        <v>1</v>
      </c>
      <c r="Z24" s="0" t="n">
        <v>6.90948171569963E-207</v>
      </c>
      <c r="AA24" s="0" t="n">
        <v>0.092054840274824</v>
      </c>
      <c r="AB24" s="0" t="n">
        <v>0.0051482896052424</v>
      </c>
      <c r="AC24" s="0" t="n">
        <v>67.3083923303162</v>
      </c>
      <c r="AD24" s="0" t="n">
        <v>0.107722499706462</v>
      </c>
    </row>
    <row r="25" customFormat="false" ht="15" hidden="false" customHeight="false" outlineLevel="0" collapsed="false">
      <c r="A25" s="0" t="s">
        <v>158</v>
      </c>
      <c r="B25" s="0" t="s">
        <v>13</v>
      </c>
      <c r="C25" s="0" t="n">
        <v>54</v>
      </c>
      <c r="D25" s="0" t="n">
        <v>0.172413373296947</v>
      </c>
      <c r="E25" s="0" t="n">
        <v>0.0372975566641495</v>
      </c>
      <c r="F25" s="0" t="n">
        <v>2.46714463136784E-005</v>
      </c>
      <c r="G25" s="0" t="n">
        <v>63.3247930499437</v>
      </c>
      <c r="H25" s="0" t="n">
        <v>0.156712726447979</v>
      </c>
      <c r="I25" s="0" t="n">
        <v>0.172792905720223</v>
      </c>
      <c r="J25" s="0" t="n">
        <v>0.0377015493229891</v>
      </c>
      <c r="K25" s="0" t="n">
        <v>2.90481104976908E-005</v>
      </c>
      <c r="L25" s="0" t="n">
        <v>-0.0004846118364278</v>
      </c>
      <c r="M25" s="0" t="n">
        <v>0.857641707913321</v>
      </c>
      <c r="N25" s="0" t="n">
        <v>0.252391555062014</v>
      </c>
      <c r="O25" s="0" t="n">
        <v>0.102480167088653</v>
      </c>
      <c r="P25" s="0" t="n">
        <v>0.0137844036934573</v>
      </c>
      <c r="Q25" s="0" t="n">
        <v>0.0452326377384387</v>
      </c>
      <c r="R25" s="0" t="n">
        <v>0.0953609398656492</v>
      </c>
      <c r="S25" s="0" t="n">
        <v>0.63526398007175</v>
      </c>
      <c r="T25" s="0" t="n">
        <v>0.226415611028855</v>
      </c>
      <c r="U25" s="0" t="n">
        <v>0.11114425674379</v>
      </c>
      <c r="V25" s="0" t="n">
        <v>0.0416367356894633</v>
      </c>
      <c r="W25" s="0" t="n">
        <v>0.166944351882706</v>
      </c>
      <c r="X25" s="0" t="n">
        <v>3</v>
      </c>
      <c r="Y25" s="2" t="b">
        <f aca="false">TRUE()</f>
        <v>1</v>
      </c>
      <c r="Z25" s="0" t="n">
        <v>0</v>
      </c>
      <c r="AA25" s="0" t="n">
        <v>0.0935933235398334</v>
      </c>
      <c r="AB25" s="0" t="n">
        <v>0.0008926197303328</v>
      </c>
      <c r="AC25" s="0" t="n">
        <v>67.1600843268378</v>
      </c>
      <c r="AD25" s="0" t="n">
        <v>0.0013322581009386</v>
      </c>
    </row>
    <row r="26" customFormat="false" ht="15" hidden="false" customHeight="false" outlineLevel="0" collapsed="false">
      <c r="A26" s="0" t="s">
        <v>159</v>
      </c>
      <c r="B26" s="0" t="s">
        <v>17</v>
      </c>
      <c r="C26" s="0" t="n">
        <v>41</v>
      </c>
      <c r="D26" s="0" t="n">
        <v>0.195776791036235</v>
      </c>
      <c r="E26" s="0" t="n">
        <v>0.0680816956980281</v>
      </c>
      <c r="F26" s="0" t="n">
        <v>0.0064336408298655</v>
      </c>
      <c r="G26" s="0" t="n">
        <v>84.9961723889222</v>
      </c>
      <c r="H26" s="0" t="n">
        <v>4.38162821068122E-005</v>
      </c>
      <c r="I26" s="0" t="n">
        <v>0.198164083309235</v>
      </c>
      <c r="J26" s="0" t="n">
        <v>0.0704141542999683</v>
      </c>
      <c r="K26" s="0" t="n">
        <v>0.0076225901211537</v>
      </c>
      <c r="L26" s="0" t="n">
        <v>-0.000845770560709</v>
      </c>
      <c r="M26" s="0" t="n">
        <v>0.869236890904595</v>
      </c>
      <c r="N26" s="0" t="n">
        <v>0.186647058938531</v>
      </c>
      <c r="O26" s="0" t="n">
        <v>0.089666557801098</v>
      </c>
      <c r="P26" s="0" t="n">
        <v>0.0373819248975866</v>
      </c>
      <c r="Q26" s="0" t="n">
        <v>0.193074317799815</v>
      </c>
      <c r="R26" s="0" t="n">
        <v>0.0478386753145087</v>
      </c>
      <c r="S26" s="0" t="n">
        <v>5.4382687914746E-005</v>
      </c>
      <c r="T26" s="0" t="n">
        <v>0.214802352375139</v>
      </c>
      <c r="U26" s="0" t="n">
        <v>0.120171792528956</v>
      </c>
      <c r="V26" s="0" t="n">
        <v>0.0738630639343437</v>
      </c>
      <c r="W26" s="0" t="n">
        <v>0.0003332222592469</v>
      </c>
      <c r="X26" s="0" t="n">
        <v>6</v>
      </c>
      <c r="Y26" s="2" t="b">
        <f aca="false">TRUE()</f>
        <v>1</v>
      </c>
      <c r="Z26" s="0" t="n">
        <v>3.59223698396936E-308</v>
      </c>
      <c r="AA26" s="0" t="n">
        <v>0.0785396794931391</v>
      </c>
      <c r="AB26" s="0" t="n">
        <v>0.000303650971709</v>
      </c>
      <c r="AC26" s="0" t="n">
        <v>74.0008924949689</v>
      </c>
      <c r="AD26" s="0" t="n">
        <v>0.0868541512031842</v>
      </c>
    </row>
    <row r="27" customFormat="false" ht="15" hidden="false" customHeight="false" outlineLevel="0" collapsed="false">
      <c r="A27" s="0" t="s">
        <v>159</v>
      </c>
      <c r="B27" s="0" t="s">
        <v>51</v>
      </c>
      <c r="C27" s="0" t="n">
        <v>41</v>
      </c>
      <c r="D27" s="0" t="n">
        <v>0.138186800560818</v>
      </c>
      <c r="E27" s="0" t="n">
        <v>0.0525133299983566</v>
      </c>
      <c r="F27" s="0" t="n">
        <v>0.0120178750501841</v>
      </c>
      <c r="G27" s="0" t="n">
        <v>63.3541160543896</v>
      </c>
      <c r="H27" s="0" t="n">
        <v>0.0107645712771105</v>
      </c>
      <c r="I27" s="0" t="n">
        <v>0.149459214875617</v>
      </c>
      <c r="J27" s="0" t="n">
        <v>0.0535944391283442</v>
      </c>
      <c r="K27" s="0" t="n">
        <v>0.0081403694756981</v>
      </c>
      <c r="L27" s="0" t="n">
        <v>-0.0039978699346778</v>
      </c>
      <c r="M27" s="0" t="n">
        <v>0.308281277538111</v>
      </c>
      <c r="N27" s="0" t="n">
        <v>0.188732880442884</v>
      </c>
      <c r="O27" s="0" t="n">
        <v>0.0848238652960708</v>
      </c>
      <c r="P27" s="0" t="n">
        <v>0.0260814121342137</v>
      </c>
      <c r="Q27" s="0" t="n">
        <v>-0.0499470355382352</v>
      </c>
      <c r="R27" s="0" t="n">
        <v>0.147250492756177</v>
      </c>
      <c r="S27" s="0" t="n">
        <v>0.734460765631707</v>
      </c>
      <c r="T27" s="0" t="n">
        <v>0.193371852149037</v>
      </c>
      <c r="U27" s="0" t="n">
        <v>0.117145134881714</v>
      </c>
      <c r="V27" s="0" t="n">
        <v>0.0987991886279931</v>
      </c>
      <c r="W27" s="0" t="n">
        <v>0.0133288903698767</v>
      </c>
      <c r="X27" s="0" t="n">
        <v>5</v>
      </c>
      <c r="Y27" s="2" t="b">
        <f aca="false">TRUE()</f>
        <v>1</v>
      </c>
      <c r="Z27" s="0" t="n">
        <v>0</v>
      </c>
      <c r="AA27" s="0" t="n">
        <v>0.0785396794931391</v>
      </c>
      <c r="AB27" s="0" t="n">
        <v>0.0002199948298511</v>
      </c>
      <c r="AC27" s="0" t="n">
        <v>74.0008924949689</v>
      </c>
      <c r="AD27" s="0" t="n">
        <v>0.107722499706462</v>
      </c>
    </row>
    <row r="28" customFormat="false" ht="15" hidden="false" customHeight="false" outlineLevel="0" collapsed="false">
      <c r="A28" s="0" t="s">
        <v>159</v>
      </c>
      <c r="B28" s="0" t="s">
        <v>47</v>
      </c>
      <c r="C28" s="0" t="n">
        <v>41</v>
      </c>
      <c r="D28" s="0" t="n">
        <v>0.0305683969408912</v>
      </c>
      <c r="E28" s="0" t="n">
        <v>0.0576362210282086</v>
      </c>
      <c r="F28" s="0" t="n">
        <v>0.598789168309338</v>
      </c>
      <c r="G28" s="0" t="n">
        <v>41.2980021190477</v>
      </c>
      <c r="H28" s="0" t="n">
        <v>0.413712564305853</v>
      </c>
      <c r="I28" s="0" t="n">
        <v>0.0339473900392941</v>
      </c>
      <c r="J28" s="0" t="n">
        <v>0.0595436091159705</v>
      </c>
      <c r="K28" s="0" t="n">
        <v>0.5718619487023</v>
      </c>
      <c r="L28" s="0" t="n">
        <v>-0.0012021373579116</v>
      </c>
      <c r="M28" s="0" t="n">
        <v>0.780629655008672</v>
      </c>
      <c r="N28" s="0" t="n">
        <v>-0.0759030342323762</v>
      </c>
      <c r="O28" s="0" t="n">
        <v>0.0705329827416353</v>
      </c>
      <c r="P28" s="0" t="n">
        <v>0.281866739696644</v>
      </c>
      <c r="Q28" s="0" t="n">
        <v>-0.0741248195979398</v>
      </c>
      <c r="R28" s="0" t="n">
        <v>0.118214197953417</v>
      </c>
      <c r="S28" s="0" t="n">
        <v>0.530634185910338</v>
      </c>
      <c r="T28" s="0" t="n">
        <v>-0.0627755639711695</v>
      </c>
      <c r="U28" s="0" t="n">
        <v>0.0708877547153242</v>
      </c>
      <c r="V28" s="0" t="n">
        <v>0.375853123595909</v>
      </c>
      <c r="W28" s="0" t="n">
        <v>0.420193268910363</v>
      </c>
      <c r="X28" s="0" t="n">
        <v>1</v>
      </c>
      <c r="Y28" s="2" t="b">
        <f aca="false">TRUE()</f>
        <v>1</v>
      </c>
      <c r="Z28" s="0" t="n">
        <v>3.52443438494909E-298</v>
      </c>
      <c r="AA28" s="0" t="n">
        <v>0.0785396794931391</v>
      </c>
      <c r="AB28" s="0" t="n">
        <v>0.0004786168146003</v>
      </c>
      <c r="AC28" s="0" t="n">
        <v>74.0008924949689</v>
      </c>
      <c r="AD28" s="0" t="n">
        <v>0.687970533802218</v>
      </c>
    </row>
    <row r="29" customFormat="false" ht="15" hidden="false" customHeight="false" outlineLevel="0" collapsed="false">
      <c r="A29" s="0" t="s">
        <v>159</v>
      </c>
      <c r="B29" s="0" t="s">
        <v>73</v>
      </c>
      <c r="C29" s="0" t="n">
        <v>41</v>
      </c>
      <c r="D29" s="0" t="n">
        <v>0.119068472720994</v>
      </c>
      <c r="E29" s="0" t="n">
        <v>0.0551723072624029</v>
      </c>
      <c r="F29" s="0" t="n">
        <v>0.0369768074020595</v>
      </c>
      <c r="G29" s="0" t="n">
        <v>36.6301793199107</v>
      </c>
      <c r="H29" s="0" t="n">
        <v>0.622758003423598</v>
      </c>
      <c r="I29" s="0" t="n">
        <v>0.133826132880263</v>
      </c>
      <c r="J29" s="0" t="n">
        <v>0.0563292810562982</v>
      </c>
      <c r="K29" s="0" t="n">
        <v>0.0225208587450711</v>
      </c>
      <c r="L29" s="0" t="n">
        <v>-0.0052769721338173</v>
      </c>
      <c r="M29" s="0" t="n">
        <v>0.201463823572086</v>
      </c>
      <c r="N29" s="0" t="n">
        <v>0.211362859109315</v>
      </c>
      <c r="O29" s="0" t="n">
        <v>0.069988659229754</v>
      </c>
      <c r="P29" s="0" t="n">
        <v>0.0025280917073176</v>
      </c>
      <c r="Q29" s="0" t="n">
        <v>0.16626509184865</v>
      </c>
      <c r="R29" s="0" t="n">
        <v>0.110354845775488</v>
      </c>
      <c r="S29" s="0" t="n">
        <v>0.131902802885054</v>
      </c>
      <c r="T29" s="0" t="n">
        <v>0.202966241575026</v>
      </c>
      <c r="U29" s="0" t="n">
        <v>0.0647718257598728</v>
      </c>
      <c r="V29" s="0" t="n">
        <v>0.0017270106720638</v>
      </c>
      <c r="W29" s="0" t="n">
        <v>0.633122292569144</v>
      </c>
      <c r="X29" s="0" t="n">
        <v>1</v>
      </c>
      <c r="Y29" s="2" t="b">
        <f aca="false">TRUE()</f>
        <v>1</v>
      </c>
      <c r="Z29" s="0" t="n">
        <v>0</v>
      </c>
      <c r="AA29" s="0" t="n">
        <v>0.0785396794931391</v>
      </c>
      <c r="AB29" s="0" t="n">
        <v>8.97534460235083E-005</v>
      </c>
      <c r="AC29" s="0" t="n">
        <v>74.0008924949689</v>
      </c>
      <c r="AD29" s="0" t="n">
        <v>0.124796724981951</v>
      </c>
    </row>
    <row r="30" customFormat="false" ht="15" hidden="false" customHeight="false" outlineLevel="0" collapsed="false">
      <c r="A30" s="0" t="s">
        <v>159</v>
      </c>
      <c r="B30" s="0" t="s">
        <v>9</v>
      </c>
      <c r="C30" s="0" t="n">
        <v>43</v>
      </c>
      <c r="D30" s="0" t="n">
        <v>0.112363186632638</v>
      </c>
      <c r="E30" s="0" t="n">
        <v>0.0726881200943266</v>
      </c>
      <c r="F30" s="0" t="n">
        <v>0.129649140780816</v>
      </c>
      <c r="G30" s="0" t="n">
        <v>107.216764357169</v>
      </c>
      <c r="H30" s="0" t="n">
        <v>1.29563452855308E-007</v>
      </c>
      <c r="I30" s="0" t="n">
        <v>0.104418997919219</v>
      </c>
      <c r="J30" s="0" t="n">
        <v>0.0743836263289615</v>
      </c>
      <c r="K30" s="0" t="n">
        <v>0.167910791133141</v>
      </c>
      <c r="L30" s="0" t="n">
        <v>0.0032754766637372</v>
      </c>
      <c r="M30" s="0" t="n">
        <v>0.54483071499493</v>
      </c>
      <c r="N30" s="0" t="n">
        <v>0.12057944519896</v>
      </c>
      <c r="O30" s="0" t="n">
        <v>0.113300123987103</v>
      </c>
      <c r="P30" s="0" t="n">
        <v>0.287216308348989</v>
      </c>
      <c r="Q30" s="0" t="n">
        <v>0.0620664397191657</v>
      </c>
      <c r="R30" s="0" t="n">
        <v>0.147543209807192</v>
      </c>
      <c r="S30" s="0" t="n">
        <v>0.673998854174707</v>
      </c>
      <c r="T30" s="0" t="n">
        <v>0.240072060667325</v>
      </c>
      <c r="U30" s="0" t="n">
        <v>0.11326873029968</v>
      </c>
      <c r="V30" s="0" t="n">
        <v>0.0340489889256331</v>
      </c>
      <c r="W30" s="0" t="n">
        <v>0.0003332222592469</v>
      </c>
      <c r="X30" s="0" t="n">
        <v>7</v>
      </c>
      <c r="Y30" s="2" t="b">
        <f aca="false">TRUE()</f>
        <v>1</v>
      </c>
      <c r="Z30" s="0" t="n">
        <v>2.66857215013078E-195</v>
      </c>
      <c r="AA30" s="0" t="n">
        <v>0.0815393655474913</v>
      </c>
      <c r="AB30" s="0" t="n">
        <v>0.0035026673042714</v>
      </c>
      <c r="AC30" s="0" t="n">
        <v>73.2485953410733</v>
      </c>
      <c r="AD30" s="0" t="n">
        <v>0.280042144086562</v>
      </c>
    </row>
    <row r="31" customFormat="false" ht="15" hidden="false" customHeight="false" outlineLevel="0" collapsed="false">
      <c r="A31" s="0" t="s">
        <v>159</v>
      </c>
      <c r="B31" s="0" t="s">
        <v>13</v>
      </c>
      <c r="C31" s="0" t="n">
        <v>43</v>
      </c>
      <c r="D31" s="0" t="n">
        <v>0.0288340097980326</v>
      </c>
      <c r="E31" s="0" t="n">
        <v>0.0445238944851784</v>
      </c>
      <c r="F31" s="0" t="n">
        <v>0.520763272414596</v>
      </c>
      <c r="G31" s="0" t="n">
        <v>63.3940964790803</v>
      </c>
      <c r="H31" s="0" t="n">
        <v>0.0180568568125966</v>
      </c>
      <c r="I31" s="0" t="n">
        <v>0.027841786807817</v>
      </c>
      <c r="J31" s="0" t="n">
        <v>0.0456825310348724</v>
      </c>
      <c r="K31" s="0" t="n">
        <v>0.545580800791035</v>
      </c>
      <c r="L31" s="0" t="n">
        <v>0.0004294766361276</v>
      </c>
      <c r="M31" s="0" t="n">
        <v>0.896102049636293</v>
      </c>
      <c r="N31" s="0" t="n">
        <v>-0.0174790079131848</v>
      </c>
      <c r="O31" s="0" t="n">
        <v>0.0700257423098913</v>
      </c>
      <c r="P31" s="0" t="n">
        <v>0.802890263588986</v>
      </c>
      <c r="Q31" s="0" t="n">
        <v>0.0198586480366933</v>
      </c>
      <c r="R31" s="0" t="n">
        <v>0.0831380692166699</v>
      </c>
      <c r="S31" s="0" t="n">
        <v>0.811211449293146</v>
      </c>
      <c r="T31" s="0" t="n">
        <v>0.003262818031432</v>
      </c>
      <c r="U31" s="0" t="n">
        <v>0.0971296242094787</v>
      </c>
      <c r="V31" s="0" t="n">
        <v>0.973202175848803</v>
      </c>
      <c r="W31" s="0" t="n">
        <v>0.0179940019993335</v>
      </c>
      <c r="X31" s="0" t="n">
        <v>4</v>
      </c>
      <c r="Y31" s="2" t="b">
        <f aca="false">TRUE()</f>
        <v>1</v>
      </c>
      <c r="Z31" s="0" t="n">
        <v>2.806218174119E-303</v>
      </c>
      <c r="AA31" s="0" t="n">
        <v>0.0815393655474913</v>
      </c>
      <c r="AB31" s="0" t="n">
        <v>0.0006429454915713</v>
      </c>
      <c r="AC31" s="0" t="n">
        <v>73.2485953410733</v>
      </c>
      <c r="AD31" s="0" t="n">
        <v>0.639118561599732</v>
      </c>
    </row>
    <row r="32" customFormat="false" ht="15" hidden="false" customHeight="false" outlineLevel="0" collapsed="false">
      <c r="A32" s="0" t="s">
        <v>160</v>
      </c>
      <c r="B32" s="0" t="s">
        <v>17</v>
      </c>
      <c r="C32" s="0" t="n">
        <v>67</v>
      </c>
      <c r="D32" s="0" t="n">
        <v>0.0173130834108501</v>
      </c>
      <c r="E32" s="0" t="n">
        <v>0.0526899482181585</v>
      </c>
      <c r="F32" s="0" t="n">
        <v>0.743510297866465</v>
      </c>
      <c r="G32" s="0" t="n">
        <v>162.250448482787</v>
      </c>
      <c r="H32" s="0" t="n">
        <v>4.49833281734868E-010</v>
      </c>
      <c r="I32" s="0" t="n">
        <v>0.0160177170942126</v>
      </c>
      <c r="J32" s="0" t="n">
        <v>0.0526981665616658</v>
      </c>
      <c r="K32" s="0" t="n">
        <v>0.762135302015198</v>
      </c>
      <c r="L32" s="0" t="n">
        <v>0.0043181872277152</v>
      </c>
      <c r="M32" s="0" t="n">
        <v>0.316598827517187</v>
      </c>
      <c r="N32" s="0" t="n">
        <v>-0.0417823449189059</v>
      </c>
      <c r="O32" s="0" t="n">
        <v>0.0813618252563089</v>
      </c>
      <c r="P32" s="0" t="n">
        <v>0.607575415550993</v>
      </c>
      <c r="Q32" s="0" t="n">
        <v>0.0670979683504926</v>
      </c>
      <c r="R32" s="0" t="n">
        <v>0.0650647626524592</v>
      </c>
      <c r="S32" s="0" t="n">
        <v>0.302424089844946</v>
      </c>
      <c r="T32" s="0" t="n">
        <v>-0.0187570894055997</v>
      </c>
      <c r="U32" s="0" t="n">
        <v>0.0698346722769693</v>
      </c>
      <c r="V32" s="0" t="n">
        <v>0.788243061886675</v>
      </c>
      <c r="W32" s="0" t="n">
        <v>0.0003332222592469</v>
      </c>
      <c r="X32" s="0" t="n">
        <v>12</v>
      </c>
      <c r="Y32" s="2" t="b">
        <f aca="false">TRUE()</f>
        <v>1</v>
      </c>
      <c r="Z32" s="0" t="n">
        <v>0</v>
      </c>
      <c r="AA32" s="0" t="n">
        <v>0.139263949337916</v>
      </c>
      <c r="AB32" s="0" t="n">
        <v>0.0004811298136995</v>
      </c>
      <c r="AC32" s="0" t="n">
        <v>80.608010410859</v>
      </c>
      <c r="AD32" s="0" t="n">
        <v>0.787246197740963</v>
      </c>
    </row>
    <row r="33" customFormat="false" ht="15" hidden="false" customHeight="false" outlineLevel="0" collapsed="false">
      <c r="A33" s="0" t="s">
        <v>160</v>
      </c>
      <c r="B33" s="0" t="s">
        <v>51</v>
      </c>
      <c r="C33" s="0" t="n">
        <v>67</v>
      </c>
      <c r="D33" s="0" t="n">
        <v>0.0649546299574952</v>
      </c>
      <c r="E33" s="0" t="n">
        <v>0.0368538741179171</v>
      </c>
      <c r="F33" s="0" t="n">
        <v>0.0826162019130918</v>
      </c>
      <c r="G33" s="0" t="n">
        <v>100.08514586624</v>
      </c>
      <c r="H33" s="0" t="n">
        <v>0.0043208293885508</v>
      </c>
      <c r="I33" s="0" t="n">
        <v>0.0656106423638148</v>
      </c>
      <c r="J33" s="0" t="n">
        <v>0.0369886626134285</v>
      </c>
      <c r="K33" s="0" t="n">
        <v>0.0807793956012937</v>
      </c>
      <c r="L33" s="0" t="n">
        <v>-0.0022391354014377</v>
      </c>
      <c r="M33" s="0" t="n">
        <v>0.458206416221036</v>
      </c>
      <c r="N33" s="0" t="n">
        <v>0.0169024054001899</v>
      </c>
      <c r="O33" s="0" t="n">
        <v>0.0457922855176611</v>
      </c>
      <c r="P33" s="0" t="n">
        <v>0.712045493113843</v>
      </c>
      <c r="Q33" s="0" t="n">
        <v>0.128791308259525</v>
      </c>
      <c r="R33" s="0" t="n">
        <v>0.0652779485192588</v>
      </c>
      <c r="S33" s="0" t="n">
        <v>0.0484992000206372</v>
      </c>
      <c r="T33" s="0" t="n">
        <v>0.0334936191390722</v>
      </c>
      <c r="U33" s="0" t="n">
        <v>0.0696820737837516</v>
      </c>
      <c r="V33" s="0" t="n">
        <v>0.630755781931376</v>
      </c>
      <c r="W33" s="0" t="n">
        <v>0.0053315561479506</v>
      </c>
      <c r="X33" s="0" t="n">
        <v>6</v>
      </c>
      <c r="Y33" s="2" t="b">
        <f aca="false">TRUE()</f>
        <v>1</v>
      </c>
      <c r="Z33" s="0" t="n">
        <v>0</v>
      </c>
      <c r="AA33" s="0" t="n">
        <v>0.139263949337916</v>
      </c>
      <c r="AB33" s="0" t="n">
        <v>0.0003101976317011</v>
      </c>
      <c r="AC33" s="0" t="n">
        <v>80.608010410859</v>
      </c>
      <c r="AD33" s="0" t="n">
        <v>0.215696740238244</v>
      </c>
    </row>
    <row r="34" customFormat="false" ht="15" hidden="false" customHeight="false" outlineLevel="0" collapsed="false">
      <c r="A34" s="0" t="s">
        <v>160</v>
      </c>
      <c r="B34" s="0" t="s">
        <v>47</v>
      </c>
      <c r="C34" s="0" t="n">
        <v>67</v>
      </c>
      <c r="D34" s="0" t="n">
        <v>-0.0607343385893506</v>
      </c>
      <c r="E34" s="0" t="n">
        <v>0.0472479377518547</v>
      </c>
      <c r="F34" s="0" t="n">
        <v>0.203131224775224</v>
      </c>
      <c r="G34" s="0" t="n">
        <v>89.3794886458836</v>
      </c>
      <c r="H34" s="0" t="n">
        <v>0.0293017480899003</v>
      </c>
      <c r="I34" s="0" t="n">
        <v>-0.0606080590929534</v>
      </c>
      <c r="J34" s="0" t="n">
        <v>0.0476205593795588</v>
      </c>
      <c r="K34" s="0" t="n">
        <v>0.207647952723142</v>
      </c>
      <c r="L34" s="0" t="n">
        <v>-0.0004117753306723</v>
      </c>
      <c r="M34" s="0" t="n">
        <v>0.915407494185036</v>
      </c>
      <c r="N34" s="0" t="n">
        <v>-0.127876294116897</v>
      </c>
      <c r="O34" s="0" t="n">
        <v>0.0765361948036316</v>
      </c>
      <c r="P34" s="0" t="n">
        <v>0.0947621699861923</v>
      </c>
      <c r="Q34" s="0" t="n">
        <v>-0.101042829917603</v>
      </c>
      <c r="R34" s="0" t="n">
        <v>0.243657199446333</v>
      </c>
      <c r="S34" s="0" t="n">
        <v>0.678366973156895</v>
      </c>
      <c r="T34" s="0" t="n">
        <v>-0.0768579132933009</v>
      </c>
      <c r="U34" s="0" t="n">
        <v>0.106365877662457</v>
      </c>
      <c r="V34" s="0" t="n">
        <v>0.469937627598404</v>
      </c>
      <c r="W34" s="0" t="n">
        <v>0.0326557814061979</v>
      </c>
      <c r="X34" s="0" t="n">
        <v>4</v>
      </c>
      <c r="Y34" s="2" t="b">
        <f aca="false">TRUE()</f>
        <v>1</v>
      </c>
      <c r="Z34" s="0" t="n">
        <v>0</v>
      </c>
      <c r="AA34" s="0" t="n">
        <v>0.139263949337916</v>
      </c>
      <c r="AB34" s="0" t="n">
        <v>0.0010543696725138</v>
      </c>
      <c r="AC34" s="0" t="n">
        <v>80.608010410859</v>
      </c>
      <c r="AD34" s="0" t="n">
        <v>0.371008861408194</v>
      </c>
    </row>
    <row r="35" customFormat="false" ht="15" hidden="false" customHeight="false" outlineLevel="0" collapsed="false">
      <c r="A35" s="0" t="s">
        <v>160</v>
      </c>
      <c r="B35" s="0" t="s">
        <v>73</v>
      </c>
      <c r="C35" s="0" t="n">
        <v>67</v>
      </c>
      <c r="D35" s="0" t="n">
        <v>0.106933639852353</v>
      </c>
      <c r="E35" s="0" t="n">
        <v>0.048187882674536</v>
      </c>
      <c r="F35" s="0" t="n">
        <v>0.0299229165851284</v>
      </c>
      <c r="G35" s="0" t="n">
        <v>98.3751145664453</v>
      </c>
      <c r="H35" s="0" t="n">
        <v>0.0060011071101753</v>
      </c>
      <c r="I35" s="0" t="n">
        <v>0.107861263747794</v>
      </c>
      <c r="J35" s="0" t="n">
        <v>0.0483468953118047</v>
      </c>
      <c r="K35" s="0" t="n">
        <v>0.0291384627157756</v>
      </c>
      <c r="L35" s="0" t="n">
        <v>-0.0030541718484069</v>
      </c>
      <c r="M35" s="0" t="n">
        <v>0.438973939255748</v>
      </c>
      <c r="N35" s="0" t="n">
        <v>9.17737105174572E-005</v>
      </c>
      <c r="O35" s="0" t="n">
        <v>0.0927698457166027</v>
      </c>
      <c r="P35" s="0" t="n">
        <v>0.999210683016659</v>
      </c>
      <c r="Q35" s="0" t="n">
        <v>0.064221707473792</v>
      </c>
      <c r="R35" s="0" t="n">
        <v>0.117957802966419</v>
      </c>
      <c r="S35" s="0" t="n">
        <v>0.586134286620075</v>
      </c>
      <c r="T35" s="0" t="n">
        <v>0.009998434857793</v>
      </c>
      <c r="U35" s="0" t="n">
        <v>0.144904579310667</v>
      </c>
      <c r="V35" s="0" t="n">
        <v>0.944989515760163</v>
      </c>
      <c r="W35" s="0" t="n">
        <v>0.0076641119626791</v>
      </c>
      <c r="X35" s="0" t="n">
        <v>7</v>
      </c>
      <c r="Y35" s="2" t="b">
        <f aca="false">TRUE()</f>
        <v>1</v>
      </c>
      <c r="Z35" s="0" t="n">
        <v>0</v>
      </c>
      <c r="AA35" s="0" t="n">
        <v>0.139263949337916</v>
      </c>
      <c r="AB35" s="0" t="n">
        <v>0.0002298087054632</v>
      </c>
      <c r="AC35" s="0" t="n">
        <v>80.608010410859</v>
      </c>
      <c r="AD35" s="0" t="n">
        <v>0.107722499706462</v>
      </c>
    </row>
    <row r="36" customFormat="false" ht="15" hidden="false" customHeight="false" outlineLevel="0" collapsed="false">
      <c r="A36" s="0" t="s">
        <v>160</v>
      </c>
      <c r="B36" s="0" t="s">
        <v>9</v>
      </c>
      <c r="C36" s="0" t="n">
        <v>68</v>
      </c>
      <c r="D36" s="0" t="n">
        <v>0.0683839170977774</v>
      </c>
      <c r="E36" s="0" t="n">
        <v>0.0589378355997024</v>
      </c>
      <c r="F36" s="0" t="n">
        <v>0.250055868311999</v>
      </c>
      <c r="G36" s="0" t="n">
        <v>203.096242392788</v>
      </c>
      <c r="H36" s="0" t="n">
        <v>1.22124532708767E-015</v>
      </c>
      <c r="I36" s="0" t="n">
        <v>0.063807394098721</v>
      </c>
      <c r="J36" s="0" t="n">
        <v>0.0585605721586145</v>
      </c>
      <c r="K36" s="0" t="n">
        <v>0.279853331664684</v>
      </c>
      <c r="L36" s="0" t="n">
        <v>0.0067482419163704</v>
      </c>
      <c r="M36" s="0" t="n">
        <v>0.155226974750812</v>
      </c>
      <c r="N36" s="0" t="n">
        <v>0.0101971513014822</v>
      </c>
      <c r="O36" s="0" t="n">
        <v>0.0766188060701913</v>
      </c>
      <c r="P36" s="0" t="n">
        <v>0.894122674295922</v>
      </c>
      <c r="Q36" s="0" t="n">
        <v>-0.0463218640675677</v>
      </c>
      <c r="R36" s="0" t="n">
        <v>0.114022265399556</v>
      </c>
      <c r="S36" s="0" t="n">
        <v>0.684556865553471</v>
      </c>
      <c r="T36" s="0" t="n">
        <v>-0.0463218640675677</v>
      </c>
      <c r="U36" s="0" t="n">
        <v>0.119966638562989</v>
      </c>
      <c r="V36" s="0" t="n">
        <v>0.69940566505268</v>
      </c>
      <c r="W36" s="0" t="n">
        <v>0.0003332222592469</v>
      </c>
      <c r="X36" s="0" t="n">
        <v>15</v>
      </c>
      <c r="Y36" s="2" t="b">
        <f aca="false">TRUE()</f>
        <v>1</v>
      </c>
      <c r="Z36" s="0" t="n">
        <v>0</v>
      </c>
      <c r="AA36" s="0" t="n">
        <v>0.139072450969074</v>
      </c>
      <c r="AB36" s="0" t="n">
        <v>0.0064030872809373</v>
      </c>
      <c r="AC36" s="0" t="n">
        <v>79.3127917474768</v>
      </c>
      <c r="AD36" s="0" t="n">
        <v>0.375083802467999</v>
      </c>
    </row>
    <row r="37" customFormat="false" ht="15" hidden="false" customHeight="false" outlineLevel="0" collapsed="false">
      <c r="A37" s="0" t="s">
        <v>160</v>
      </c>
      <c r="B37" s="0" t="s">
        <v>13</v>
      </c>
      <c r="C37" s="0" t="n">
        <v>72</v>
      </c>
      <c r="D37" s="0" t="n">
        <v>0.116415524751953</v>
      </c>
      <c r="E37" s="0" t="n">
        <v>0.0309805226381675</v>
      </c>
      <c r="F37" s="0" t="n">
        <v>0.0003485903285736</v>
      </c>
      <c r="G37" s="0" t="n">
        <v>95.4654064166216</v>
      </c>
      <c r="H37" s="0" t="n">
        <v>0.0280550228802662</v>
      </c>
      <c r="I37" s="0" t="n">
        <v>0.117347864373042</v>
      </c>
      <c r="J37" s="0" t="n">
        <v>0.0311718805983793</v>
      </c>
      <c r="K37" s="0" t="n">
        <v>0.0003438372866712</v>
      </c>
      <c r="L37" s="0" t="n">
        <v>-0.0014070333366726</v>
      </c>
      <c r="M37" s="0" t="n">
        <v>0.5706140696515</v>
      </c>
      <c r="N37" s="0" t="n">
        <v>0.0389280437481056</v>
      </c>
      <c r="O37" s="0" t="n">
        <v>0.0553635952748617</v>
      </c>
      <c r="P37" s="0" t="n">
        <v>0.481972047772485</v>
      </c>
      <c r="Q37" s="0" t="n">
        <v>0.120342565385658</v>
      </c>
      <c r="R37" s="0" t="n">
        <v>0.0549794392463752</v>
      </c>
      <c r="S37" s="0" t="n">
        <v>0.0286066601134873</v>
      </c>
      <c r="T37" s="0" t="n">
        <v>0.0278309312716251</v>
      </c>
      <c r="U37" s="0" t="n">
        <v>0.0662115321076266</v>
      </c>
      <c r="V37" s="0" t="n">
        <v>0.674241771717555</v>
      </c>
      <c r="W37" s="0" t="n">
        <v>0.0276574475174941</v>
      </c>
      <c r="X37" s="0" t="n">
        <v>6</v>
      </c>
      <c r="Y37" s="2" t="b">
        <f aca="false">TRUE()</f>
        <v>1</v>
      </c>
      <c r="Z37" s="0" t="n">
        <v>0</v>
      </c>
      <c r="AA37" s="0" t="n">
        <v>0.143573900888325</v>
      </c>
      <c r="AB37" s="0" t="n">
        <v>0.0011496372512233</v>
      </c>
      <c r="AC37" s="0" t="n">
        <v>77.3159638215794</v>
      </c>
      <c r="AD37" s="0" t="n">
        <v>0.0094119388714872</v>
      </c>
    </row>
    <row r="38" customFormat="false" ht="15" hidden="false" customHeight="false" outlineLevel="0" collapsed="false">
      <c r="A38" s="0" t="s">
        <v>161</v>
      </c>
      <c r="B38" s="0" t="s">
        <v>17</v>
      </c>
      <c r="C38" s="0" t="n">
        <v>48</v>
      </c>
      <c r="D38" s="0" t="n">
        <v>-0.595445886855001</v>
      </c>
      <c r="E38" s="0" t="n">
        <v>0.337162244815485</v>
      </c>
      <c r="F38" s="0" t="n">
        <v>0.0838820656482059</v>
      </c>
      <c r="G38" s="0" t="n">
        <v>3130.53072990379</v>
      </c>
      <c r="H38" s="0" t="n">
        <v>0</v>
      </c>
      <c r="I38" s="0" t="n">
        <v>-0.638638506963693</v>
      </c>
      <c r="J38" s="0" t="n">
        <v>0.347992057200774</v>
      </c>
      <c r="K38" s="0" t="n">
        <v>0.0729449863961833</v>
      </c>
      <c r="L38" s="0" t="n">
        <v>0.0150368613710388</v>
      </c>
      <c r="M38" s="0" t="n">
        <v>0.572075113614533</v>
      </c>
      <c r="N38" s="0" t="n">
        <v>-0.0125688676657131</v>
      </c>
      <c r="O38" s="0" t="n">
        <v>0.171439869443985</v>
      </c>
      <c r="P38" s="0" t="n">
        <v>0.941556599047791</v>
      </c>
      <c r="Q38" s="0" t="n">
        <v>0.184695212214784</v>
      </c>
      <c r="R38" s="0" t="n">
        <v>0.094482222827203</v>
      </c>
      <c r="S38" s="0" t="n">
        <v>0.0506049777797111</v>
      </c>
      <c r="T38" s="0" t="n">
        <v>0.161816347310568</v>
      </c>
      <c r="U38" s="0" t="n">
        <v>0.139431298732373</v>
      </c>
      <c r="V38" s="0" t="n">
        <v>0.245826835406639</v>
      </c>
      <c r="W38" s="0" t="n">
        <v>0.0003332222592469</v>
      </c>
      <c r="X38" s="0" t="n">
        <v>30</v>
      </c>
      <c r="Y38" s="2" t="b">
        <f aca="false">TRUE()</f>
        <v>1</v>
      </c>
      <c r="Z38" s="0" t="n">
        <v>4.78693951012669E-194</v>
      </c>
      <c r="AA38" s="0" t="n">
        <v>0.0923284268708527</v>
      </c>
      <c r="AB38" s="0" t="n">
        <v>0.009842140015311</v>
      </c>
      <c r="AC38" s="0" t="n">
        <v>74.2594693451054</v>
      </c>
      <c r="AD38" s="0" t="n">
        <v>0.215696740238244</v>
      </c>
    </row>
    <row r="39" customFormat="false" ht="15" hidden="false" customHeight="false" outlineLevel="0" collapsed="false">
      <c r="A39" s="0" t="s">
        <v>161</v>
      </c>
      <c r="B39" s="0" t="s">
        <v>51</v>
      </c>
      <c r="C39" s="0" t="n">
        <v>48</v>
      </c>
      <c r="D39" s="0" t="n">
        <v>-0.522946383712706</v>
      </c>
      <c r="E39" s="0" t="n">
        <v>0.287982631819831</v>
      </c>
      <c r="F39" s="0" t="n">
        <v>0.0757683028237724</v>
      </c>
      <c r="G39" s="0" t="n">
        <v>2866.0962397021</v>
      </c>
      <c r="H39" s="0" t="n">
        <v>0</v>
      </c>
      <c r="I39" s="0" t="n">
        <v>-0.540112264145489</v>
      </c>
      <c r="J39" s="0" t="n">
        <v>0.298249764084901</v>
      </c>
      <c r="K39" s="0" t="n">
        <v>0.0766835504401352</v>
      </c>
      <c r="L39" s="0" t="n">
        <v>0.0058934327165125</v>
      </c>
      <c r="M39" s="0" t="n">
        <v>0.79560865516875</v>
      </c>
      <c r="N39" s="0" t="n">
        <v>-0.0140126309185876</v>
      </c>
      <c r="O39" s="0" t="n">
        <v>0.0959146247593042</v>
      </c>
      <c r="P39" s="0" t="n">
        <v>0.883846526704399</v>
      </c>
      <c r="Q39" s="0" t="n">
        <v>0.146109783331958</v>
      </c>
      <c r="R39" s="0" t="n">
        <v>0.087214791475207</v>
      </c>
      <c r="S39" s="0" t="n">
        <v>0.0938779866385909</v>
      </c>
      <c r="T39" s="0" t="n">
        <v>0.106245258446089</v>
      </c>
      <c r="U39" s="0" t="n">
        <v>0.0983870661334808</v>
      </c>
      <c r="V39" s="0" t="n">
        <v>0.280199995655618</v>
      </c>
      <c r="W39" s="0" t="n">
        <v>0.0003332222592469</v>
      </c>
      <c r="X39" s="0" t="n">
        <v>30</v>
      </c>
      <c r="Y39" s="2" t="b">
        <f aca="false">TRUE()</f>
        <v>1</v>
      </c>
      <c r="Z39" s="0" t="n">
        <v>1.60368243597856E-201</v>
      </c>
      <c r="AA39" s="0" t="n">
        <v>0.0923284268708527</v>
      </c>
      <c r="AB39" s="0" t="n">
        <v>0.0090469399768931</v>
      </c>
      <c r="AC39" s="0" t="n">
        <v>74.2594693451054</v>
      </c>
      <c r="AD39" s="0" t="n">
        <v>0.215341492235985</v>
      </c>
    </row>
    <row r="40" customFormat="false" ht="15" hidden="false" customHeight="false" outlineLevel="0" collapsed="false">
      <c r="A40" s="0" t="s">
        <v>161</v>
      </c>
      <c r="B40" s="0" t="s">
        <v>47</v>
      </c>
      <c r="C40" s="0" t="n">
        <v>48</v>
      </c>
      <c r="D40" s="0" t="n">
        <v>-0.051702050014592</v>
      </c>
      <c r="E40" s="0" t="n">
        <v>0.0680196849748627</v>
      </c>
      <c r="F40" s="0" t="n">
        <v>0.450988495717544</v>
      </c>
      <c r="G40" s="0" t="n">
        <v>86.2759420815233</v>
      </c>
      <c r="H40" s="0" t="n">
        <v>0.0004183896348135</v>
      </c>
      <c r="I40" s="0" t="n">
        <v>-0.0371597236024264</v>
      </c>
      <c r="J40" s="0" t="n">
        <v>0.0699823257810467</v>
      </c>
      <c r="K40" s="0" t="n">
        <v>0.597982196993471</v>
      </c>
      <c r="L40" s="0" t="n">
        <v>-0.0048234190129713</v>
      </c>
      <c r="M40" s="0" t="n">
        <v>0.366499501602798</v>
      </c>
      <c r="N40" s="0" t="n">
        <v>-0.0445872473324152</v>
      </c>
      <c r="O40" s="0" t="n">
        <v>0.112205708864913</v>
      </c>
      <c r="P40" s="0" t="n">
        <v>0.691094208943825</v>
      </c>
      <c r="Q40" s="0" t="n">
        <v>0.0875600672459437</v>
      </c>
      <c r="R40" s="0" t="n">
        <v>0.119264379427772</v>
      </c>
      <c r="S40" s="0" t="n">
        <v>0.462846474768841</v>
      </c>
      <c r="T40" s="0" t="n">
        <v>0.0267913984325076</v>
      </c>
      <c r="U40" s="0" t="n">
        <v>0.137001461453742</v>
      </c>
      <c r="V40" s="0" t="n">
        <v>0.844958041327251</v>
      </c>
      <c r="W40" s="0" t="n">
        <v>0.0006664445184938</v>
      </c>
      <c r="X40" s="0" t="n">
        <v>5</v>
      </c>
      <c r="Y40" s="2" t="b">
        <f aca="false">TRUE()</f>
        <v>1</v>
      </c>
      <c r="Z40" s="0" t="n">
        <v>0</v>
      </c>
      <c r="AA40" s="0" t="n">
        <v>0.0923284268708527</v>
      </c>
      <c r="AB40" s="0" t="n">
        <v>0.0010050578479416</v>
      </c>
      <c r="AC40" s="0" t="n">
        <v>74.2594693451054</v>
      </c>
      <c r="AD40" s="0" t="n">
        <v>0.593984848018228</v>
      </c>
    </row>
    <row r="41" customFormat="false" ht="15" hidden="false" customHeight="false" outlineLevel="0" collapsed="false">
      <c r="A41" s="0" t="s">
        <v>161</v>
      </c>
      <c r="B41" s="0" t="s">
        <v>73</v>
      </c>
      <c r="C41" s="0" t="n">
        <v>48</v>
      </c>
      <c r="D41" s="0" t="n">
        <v>-0.0036058138921169</v>
      </c>
      <c r="E41" s="0" t="n">
        <v>0.0727290778599342</v>
      </c>
      <c r="F41" s="0" t="n">
        <v>0.960668209850457</v>
      </c>
      <c r="G41" s="0" t="n">
        <v>104.422000544819</v>
      </c>
      <c r="H41" s="0" t="n">
        <v>3.02270118213155E-006</v>
      </c>
      <c r="I41" s="0" t="n">
        <v>-0.0074371610672037</v>
      </c>
      <c r="J41" s="0" t="n">
        <v>0.0755341316978153</v>
      </c>
      <c r="K41" s="0" t="n">
        <v>0.921994101111472</v>
      </c>
      <c r="L41" s="0" t="n">
        <v>0.0012500715806182</v>
      </c>
      <c r="M41" s="0" t="n">
        <v>0.827743871906072</v>
      </c>
      <c r="N41" s="0" t="n">
        <v>-0.0057247768951446</v>
      </c>
      <c r="O41" s="0" t="n">
        <v>0.060096138890473</v>
      </c>
      <c r="P41" s="0" t="n">
        <v>0.924108066286831</v>
      </c>
      <c r="Q41" s="0" t="n">
        <v>0.0247312606546477</v>
      </c>
      <c r="R41" s="0" t="n">
        <v>0.0765908187315642</v>
      </c>
      <c r="S41" s="0" t="n">
        <v>0.74677013297486</v>
      </c>
      <c r="T41" s="0" t="n">
        <v>-0.0086574570923398</v>
      </c>
      <c r="U41" s="0" t="n">
        <v>0.0724064549492218</v>
      </c>
      <c r="V41" s="0" t="n">
        <v>0.904825784929212</v>
      </c>
      <c r="W41" s="0" t="n">
        <v>0.0003332222592469</v>
      </c>
      <c r="X41" s="0" t="n">
        <v>9</v>
      </c>
      <c r="Y41" s="2" t="b">
        <f aca="false">TRUE()</f>
        <v>1</v>
      </c>
      <c r="Z41" s="0" t="n">
        <v>0</v>
      </c>
      <c r="AA41" s="0" t="n">
        <v>0.0923284268708527</v>
      </c>
      <c r="AB41" s="0" t="n">
        <v>0.0002270078935958</v>
      </c>
      <c r="AC41" s="0" t="n">
        <v>74.2594693451054</v>
      </c>
      <c r="AD41" s="0" t="n">
        <v>0.968464614882628</v>
      </c>
    </row>
    <row r="42" customFormat="false" ht="15" hidden="false" customHeight="false" outlineLevel="0" collapsed="false">
      <c r="A42" s="0" t="s">
        <v>161</v>
      </c>
      <c r="B42" s="0" t="s">
        <v>9</v>
      </c>
      <c r="C42" s="0" t="n">
        <v>49</v>
      </c>
      <c r="D42" s="0" t="n">
        <v>-0.778747013465414</v>
      </c>
      <c r="E42" s="0" t="n">
        <v>0.44918136185279</v>
      </c>
      <c r="F42" s="0" t="n">
        <v>0.0893905018469461</v>
      </c>
      <c r="G42" s="0" t="n">
        <v>5662.77539204422</v>
      </c>
      <c r="H42" s="0" t="n">
        <v>0</v>
      </c>
      <c r="I42" s="0" t="n">
        <v>-0.848539580056459</v>
      </c>
      <c r="J42" s="0" t="n">
        <v>0.465290860001377</v>
      </c>
      <c r="K42" s="0" t="n">
        <v>0.0745634816083706</v>
      </c>
      <c r="L42" s="0" t="n">
        <v>0.0222644496779857</v>
      </c>
      <c r="M42" s="0" t="n">
        <v>0.530157313904247</v>
      </c>
      <c r="N42" s="0" t="n">
        <v>0.022622334836311</v>
      </c>
      <c r="O42" s="0" t="n">
        <v>0.144955470010774</v>
      </c>
      <c r="P42" s="0" t="n">
        <v>0.87598255071724</v>
      </c>
      <c r="Q42" s="0" t="n">
        <v>0.185813067465396</v>
      </c>
      <c r="R42" s="0" t="n">
        <v>0.114833288189277</v>
      </c>
      <c r="S42" s="0" t="n">
        <v>0.105638564473787</v>
      </c>
      <c r="T42" s="0" t="n">
        <v>0.185813067465396</v>
      </c>
      <c r="U42" s="0" t="n">
        <v>0.173644702515095</v>
      </c>
      <c r="V42" s="0" t="n">
        <v>0.28458500048391</v>
      </c>
      <c r="W42" s="0" t="n">
        <v>0.0003332222592469</v>
      </c>
      <c r="X42" s="0" t="n">
        <v>36</v>
      </c>
      <c r="Y42" s="2" t="b">
        <f aca="false">FALSE()</f>
        <v>0</v>
      </c>
      <c r="Z42" s="0" t="n">
        <v>1.19525906269074E-058</v>
      </c>
      <c r="AA42" s="0" t="n">
        <v>0.093541199421943</v>
      </c>
      <c r="AB42" s="0" t="n">
        <v>0.173122840436075</v>
      </c>
      <c r="AC42" s="0" t="n">
        <v>73.6976480270953</v>
      </c>
      <c r="AD42" s="0" t="n">
        <v>0.219413049987959</v>
      </c>
    </row>
    <row r="43" customFormat="false" ht="15" hidden="false" customHeight="false" outlineLevel="0" collapsed="false">
      <c r="A43" s="0" t="s">
        <v>161</v>
      </c>
      <c r="B43" s="0" t="s">
        <v>13</v>
      </c>
      <c r="C43" s="0" t="n">
        <v>52</v>
      </c>
      <c r="D43" s="0" t="n">
        <v>-0.185990742839318</v>
      </c>
      <c r="E43" s="0" t="n">
        <v>0.145914077450478</v>
      </c>
      <c r="F43" s="0" t="n">
        <v>0.208206907591447</v>
      </c>
      <c r="G43" s="0" t="n">
        <v>1027.57650978825</v>
      </c>
      <c r="H43" s="0" t="n">
        <v>0</v>
      </c>
      <c r="I43" s="0" t="n">
        <v>-0.193134166953029</v>
      </c>
      <c r="J43" s="0" t="n">
        <v>0.152168196973964</v>
      </c>
      <c r="K43" s="0" t="n">
        <v>0.210240732418716</v>
      </c>
      <c r="L43" s="0" t="n">
        <v>0.0021172326401355</v>
      </c>
      <c r="M43" s="0" t="n">
        <v>0.852137238543648</v>
      </c>
      <c r="N43" s="0" t="n">
        <v>0.0402029613243242</v>
      </c>
      <c r="O43" s="0" t="n">
        <v>0.0553837730326902</v>
      </c>
      <c r="P43" s="0" t="n">
        <v>0.467901399570085</v>
      </c>
      <c r="Q43" s="0" t="n">
        <v>0.101650696246617</v>
      </c>
      <c r="R43" s="0" t="n">
        <v>0.0592936224757355</v>
      </c>
      <c r="S43" s="0" t="n">
        <v>0.0864623773535683</v>
      </c>
      <c r="T43" s="0" t="n">
        <v>0.0939660969914433</v>
      </c>
      <c r="U43" s="0" t="n">
        <v>0.0703107043798747</v>
      </c>
      <c r="V43" s="0" t="n">
        <v>0.181405224293295</v>
      </c>
      <c r="W43" s="0" t="n">
        <v>0.0003332222592469</v>
      </c>
      <c r="X43" s="0" t="n">
        <v>14</v>
      </c>
      <c r="Y43" s="2" t="b">
        <f aca="false">TRUE()</f>
        <v>1</v>
      </c>
      <c r="Z43" s="0" t="n">
        <v>2.9990482216653E-203</v>
      </c>
      <c r="AA43" s="0" t="n">
        <v>0.0972940613155715</v>
      </c>
      <c r="AB43" s="0" t="n">
        <v>0.0106093625416277</v>
      </c>
      <c r="AC43" s="0" t="n">
        <v>72.2274673628134</v>
      </c>
      <c r="AD43" s="0" t="n">
        <v>0.371008861408194</v>
      </c>
    </row>
    <row r="44" customFormat="false" ht="15" hidden="false" customHeight="false" outlineLevel="0" collapsed="false">
      <c r="A44" s="0" t="s">
        <v>162</v>
      </c>
      <c r="B44" s="0" t="s">
        <v>17</v>
      </c>
      <c r="C44" s="0" t="n">
        <v>36</v>
      </c>
      <c r="D44" s="0" t="n">
        <v>0.0285307368848645</v>
      </c>
      <c r="E44" s="0" t="n">
        <v>0.0736387635265955</v>
      </c>
      <c r="F44" s="0" t="n">
        <v>0.700775304506144</v>
      </c>
      <c r="G44" s="0" t="n">
        <v>73.8427052751289</v>
      </c>
      <c r="H44" s="0" t="n">
        <v>0.0001365438659169</v>
      </c>
      <c r="I44" s="0" t="n">
        <v>0.0263681689056921</v>
      </c>
      <c r="J44" s="0" t="n">
        <v>0.075251121915218</v>
      </c>
      <c r="K44" s="0" t="n">
        <v>0.728198420939998</v>
      </c>
      <c r="L44" s="0" t="n">
        <v>0.0011727161167613</v>
      </c>
      <c r="M44" s="0" t="n">
        <v>0.820231779286404</v>
      </c>
      <c r="N44" s="0" t="n">
        <v>-0.043711053455365</v>
      </c>
      <c r="O44" s="0" t="n">
        <v>0.12912438779274</v>
      </c>
      <c r="P44" s="0" t="n">
        <v>0.734972141641962</v>
      </c>
      <c r="Q44" s="0" t="n">
        <v>0.126860669920943</v>
      </c>
      <c r="R44" s="0" t="n">
        <v>0.167016629713307</v>
      </c>
      <c r="S44" s="0" t="n">
        <v>0.447512199565644</v>
      </c>
      <c r="T44" s="0" t="n">
        <v>0.0147097298838121</v>
      </c>
      <c r="U44" s="0" t="n">
        <v>0.179522912956653</v>
      </c>
      <c r="V44" s="0" t="n">
        <v>0.934696098594484</v>
      </c>
      <c r="W44" s="0" t="n">
        <v>0.0006664445184938</v>
      </c>
      <c r="X44" s="0" t="n">
        <v>4</v>
      </c>
      <c r="Y44" s="2" t="b">
        <f aca="false">TRUE()</f>
        <v>1</v>
      </c>
      <c r="Z44" s="0" t="n">
        <v>2.47624173906314E-231</v>
      </c>
      <c r="AA44" s="0" t="n">
        <v>0.0594934074407705</v>
      </c>
      <c r="AB44" s="0" t="n">
        <v>0.0002195530438764</v>
      </c>
      <c r="AC44" s="0" t="n">
        <v>63.764770840723</v>
      </c>
      <c r="AD44" s="0" t="n">
        <v>0.772282988639424</v>
      </c>
    </row>
    <row r="45" customFormat="false" ht="15" hidden="false" customHeight="false" outlineLevel="0" collapsed="false">
      <c r="A45" s="0" t="s">
        <v>162</v>
      </c>
      <c r="B45" s="0" t="s">
        <v>51</v>
      </c>
      <c r="C45" s="0" t="n">
        <v>36</v>
      </c>
      <c r="D45" s="0" t="n">
        <v>0.0558395049886875</v>
      </c>
      <c r="E45" s="0" t="n">
        <v>0.05993404883439</v>
      </c>
      <c r="F45" s="0" t="n">
        <v>0.357883206642465</v>
      </c>
      <c r="G45" s="0" t="n">
        <v>61.6397008359923</v>
      </c>
      <c r="H45" s="0" t="n">
        <v>0.0035800381350185</v>
      </c>
      <c r="I45" s="0" t="n">
        <v>0.0553939399604796</v>
      </c>
      <c r="J45" s="0" t="n">
        <v>0.0612940839146131</v>
      </c>
      <c r="K45" s="0" t="n">
        <v>0.372492062557089</v>
      </c>
      <c r="L45" s="0" t="n">
        <v>0.0002406891676723</v>
      </c>
      <c r="M45" s="0" t="n">
        <v>0.954308658470724</v>
      </c>
      <c r="N45" s="0" t="n">
        <v>-0.0610865413992649</v>
      </c>
      <c r="O45" s="0" t="n">
        <v>0.0776452704634653</v>
      </c>
      <c r="P45" s="0" t="n">
        <v>0.431434827472748</v>
      </c>
      <c r="Q45" s="0" t="n">
        <v>-0.0533814066370963</v>
      </c>
      <c r="R45" s="0" t="n">
        <v>0.0788656733553734</v>
      </c>
      <c r="S45" s="0" t="n">
        <v>0.498491671742964</v>
      </c>
      <c r="T45" s="0" t="n">
        <v>-0.0408863743972685</v>
      </c>
      <c r="U45" s="0" t="n">
        <v>0.0795380083753333</v>
      </c>
      <c r="V45" s="0" t="n">
        <v>0.607218253706436</v>
      </c>
      <c r="W45" s="0" t="n">
        <v>0.0069976674441852</v>
      </c>
      <c r="X45" s="0" t="n">
        <v>4</v>
      </c>
      <c r="Y45" s="2" t="b">
        <f aca="false">TRUE()</f>
        <v>1</v>
      </c>
      <c r="Z45" s="0" t="n">
        <v>1.41015218376175E-233</v>
      </c>
      <c r="AA45" s="0" t="n">
        <v>0.0594934074407705</v>
      </c>
      <c r="AB45" s="0" t="n">
        <v>0.0001869808207372</v>
      </c>
      <c r="AC45" s="0" t="n">
        <v>63.764770840723</v>
      </c>
      <c r="AD45" s="0" t="n">
        <v>0.508570872597187</v>
      </c>
    </row>
    <row r="46" customFormat="false" ht="15" hidden="false" customHeight="false" outlineLevel="0" collapsed="false">
      <c r="A46" s="0" t="s">
        <v>162</v>
      </c>
      <c r="B46" s="0" t="s">
        <v>47</v>
      </c>
      <c r="C46" s="0" t="n">
        <v>36</v>
      </c>
      <c r="D46" s="0" t="n">
        <v>0.0762311764158103</v>
      </c>
      <c r="E46" s="0" t="n">
        <v>0.0623428808929113</v>
      </c>
      <c r="F46" s="0" t="n">
        <v>0.229585639563419</v>
      </c>
      <c r="G46" s="0" t="n">
        <v>36.3428846890832</v>
      </c>
      <c r="H46" s="0" t="n">
        <v>0.405926682197235</v>
      </c>
      <c r="I46" s="0" t="n">
        <v>0.0780909135534941</v>
      </c>
      <c r="J46" s="0" t="n">
        <v>0.0636979904324285</v>
      </c>
      <c r="K46" s="0" t="n">
        <v>0.228639173965038</v>
      </c>
      <c r="L46" s="0" t="n">
        <v>-0.0010160347195748</v>
      </c>
      <c r="M46" s="0" t="n">
        <v>0.816070618258167</v>
      </c>
      <c r="N46" s="0" t="n">
        <v>0.105436956484782</v>
      </c>
      <c r="O46" s="0" t="n">
        <v>0.0838298107934202</v>
      </c>
      <c r="P46" s="0" t="n">
        <v>0.208482131811089</v>
      </c>
      <c r="Q46" s="0" t="n">
        <v>0.153208209214948</v>
      </c>
      <c r="R46" s="0" t="n">
        <v>0.151034662851412</v>
      </c>
      <c r="S46" s="0" t="n">
        <v>0.310396196471754</v>
      </c>
      <c r="T46" s="0" t="n">
        <v>0.0964029929799312</v>
      </c>
      <c r="U46" s="0" t="n">
        <v>0.0918661794898792</v>
      </c>
      <c r="V46" s="0" t="n">
        <v>0.294000947983849</v>
      </c>
      <c r="W46" s="0" t="n">
        <v>0.408530489836721</v>
      </c>
      <c r="X46" s="0" t="n">
        <v>1</v>
      </c>
      <c r="Y46" s="2" t="b">
        <f aca="false">TRUE()</f>
        <v>1</v>
      </c>
      <c r="Z46" s="0" t="n">
        <v>1.32543787140145E-219</v>
      </c>
      <c r="AA46" s="0" t="n">
        <v>0.0594934074407705</v>
      </c>
      <c r="AB46" s="0" t="n">
        <v>0.0004361196595482</v>
      </c>
      <c r="AC46" s="0" t="n">
        <v>63.764770840723</v>
      </c>
      <c r="AD46" s="0" t="n">
        <v>0.371008861408194</v>
      </c>
    </row>
    <row r="47" customFormat="false" ht="15" hidden="false" customHeight="false" outlineLevel="0" collapsed="false">
      <c r="A47" s="0" t="s">
        <v>162</v>
      </c>
      <c r="B47" s="0" t="s">
        <v>73</v>
      </c>
      <c r="C47" s="0" t="n">
        <v>36</v>
      </c>
      <c r="D47" s="0" t="n">
        <v>-0.215328398458172</v>
      </c>
      <c r="E47" s="0" t="n">
        <v>0.077810951754494</v>
      </c>
      <c r="F47" s="0" t="n">
        <v>0.0089697876550596</v>
      </c>
      <c r="G47" s="0" t="n">
        <v>59.9245513687415</v>
      </c>
      <c r="H47" s="0" t="n">
        <v>0.0054412449302955</v>
      </c>
      <c r="I47" s="0" t="n">
        <v>-0.215852438135924</v>
      </c>
      <c r="J47" s="0" t="n">
        <v>0.0795574554596737</v>
      </c>
      <c r="K47" s="0" t="n">
        <v>0.010384028020682</v>
      </c>
      <c r="L47" s="0" t="n">
        <v>0.0002877542154663</v>
      </c>
      <c r="M47" s="0" t="n">
        <v>0.957939591471106</v>
      </c>
      <c r="N47" s="0" t="n">
        <v>-0.257511762063239</v>
      </c>
      <c r="O47" s="0" t="n">
        <v>0.121098654877085</v>
      </c>
      <c r="P47" s="0" t="n">
        <v>0.0334647591036731</v>
      </c>
      <c r="Q47" s="0" t="n">
        <v>0.0349820879210105</v>
      </c>
      <c r="R47" s="0" t="n">
        <v>0.265407847734462</v>
      </c>
      <c r="S47" s="0" t="n">
        <v>0.895138512109598</v>
      </c>
      <c r="T47" s="0" t="n">
        <v>-0.196477059275649</v>
      </c>
      <c r="U47" s="0" t="n">
        <v>0.203412561423283</v>
      </c>
      <c r="V47" s="0" t="n">
        <v>0.334092091337659</v>
      </c>
      <c r="W47" s="0" t="n">
        <v>0.0083305564811729</v>
      </c>
      <c r="X47" s="0" t="n">
        <v>3</v>
      </c>
      <c r="Y47" s="2" t="b">
        <f aca="false">TRUE()</f>
        <v>1</v>
      </c>
      <c r="Z47" s="0" t="n">
        <v>1.07471336458922E-235</v>
      </c>
      <c r="AA47" s="0" t="n">
        <v>0.0594934074407705</v>
      </c>
      <c r="AB47" s="0" t="n">
        <v>0.0001587688946439</v>
      </c>
      <c r="AC47" s="0" t="n">
        <v>63.764770840723</v>
      </c>
      <c r="AD47" s="0" t="n">
        <v>0.0968737066746436</v>
      </c>
    </row>
    <row r="48" customFormat="false" ht="15" hidden="false" customHeight="false" outlineLevel="0" collapsed="false">
      <c r="A48" s="0" t="s">
        <v>162</v>
      </c>
      <c r="B48" s="0" t="s">
        <v>9</v>
      </c>
      <c r="C48" s="0" t="n">
        <v>37</v>
      </c>
      <c r="D48" s="0" t="n">
        <v>0.127150227472574</v>
      </c>
      <c r="E48" s="0" t="n">
        <v>0.0881884395866483</v>
      </c>
      <c r="F48" s="0" t="n">
        <v>0.158001792151064</v>
      </c>
      <c r="G48" s="0" t="n">
        <v>113.024866211352</v>
      </c>
      <c r="H48" s="0" t="n">
        <v>6.97187974019186E-010</v>
      </c>
      <c r="I48" s="0" t="n">
        <v>0.127835059302338</v>
      </c>
      <c r="J48" s="0" t="n">
        <v>0.0899585814298888</v>
      </c>
      <c r="K48" s="0" t="n">
        <v>0.164153005102792</v>
      </c>
      <c r="L48" s="0" t="n">
        <v>-0.0004339912494411</v>
      </c>
      <c r="M48" s="0" t="n">
        <v>0.944172241892672</v>
      </c>
      <c r="N48" s="0" t="n">
        <v>0.0225848419046165</v>
      </c>
      <c r="O48" s="0" t="n">
        <v>0.143934408761304</v>
      </c>
      <c r="P48" s="0" t="n">
        <v>0.875315264877099</v>
      </c>
      <c r="Q48" s="0" t="n">
        <v>0.143358444211307</v>
      </c>
      <c r="R48" s="0" t="n">
        <v>0.163516495015943</v>
      </c>
      <c r="S48" s="0" t="n">
        <v>0.380637868024871</v>
      </c>
      <c r="T48" s="0" t="n">
        <v>-0.0018983687520828</v>
      </c>
      <c r="U48" s="0" t="n">
        <v>0.191115531297127</v>
      </c>
      <c r="V48" s="0" t="n">
        <v>0.99207466708696</v>
      </c>
      <c r="W48" s="0" t="n">
        <v>0.0003332222592469</v>
      </c>
      <c r="X48" s="0" t="n">
        <v>5</v>
      </c>
      <c r="Y48" s="2" t="b">
        <f aca="false">TRUE()</f>
        <v>1</v>
      </c>
      <c r="Z48" s="0" t="n">
        <v>2.13232948617682E-130</v>
      </c>
      <c r="AA48" s="0" t="n">
        <v>0.0608829235118339</v>
      </c>
      <c r="AB48" s="0" t="n">
        <v>0.0036951691269266</v>
      </c>
      <c r="AC48" s="0" t="n">
        <v>63.4886941825806</v>
      </c>
      <c r="AD48" s="0" t="n">
        <v>0.328157568313748</v>
      </c>
    </row>
    <row r="49" customFormat="false" ht="15" hidden="false" customHeight="false" outlineLevel="0" collapsed="false">
      <c r="A49" s="0" t="s">
        <v>162</v>
      </c>
      <c r="B49" s="0" t="s">
        <v>13</v>
      </c>
      <c r="C49" s="0" t="n">
        <v>38</v>
      </c>
      <c r="D49" s="0" t="n">
        <v>0.0542818234074638</v>
      </c>
      <c r="E49" s="0" t="n">
        <v>0.0541597149925163</v>
      </c>
      <c r="F49" s="0" t="n">
        <v>0.322730571960894</v>
      </c>
      <c r="G49" s="0" t="n">
        <v>69.8629164645389</v>
      </c>
      <c r="H49" s="0" t="n">
        <v>0.0008740249116259</v>
      </c>
      <c r="I49" s="0" t="n">
        <v>0.0536139691953195</v>
      </c>
      <c r="J49" s="0" t="n">
        <v>0.0550993813876499</v>
      </c>
      <c r="K49" s="0" t="n">
        <v>0.33702588440274</v>
      </c>
      <c r="L49" s="0" t="n">
        <v>0.0005196863120355</v>
      </c>
      <c r="M49" s="0" t="n">
        <v>0.889600126125949</v>
      </c>
      <c r="N49" s="0" t="n">
        <v>0.014486473477706</v>
      </c>
      <c r="O49" s="0" t="n">
        <v>0.0934309561698858</v>
      </c>
      <c r="P49" s="0" t="n">
        <v>0.876781868174082</v>
      </c>
      <c r="Q49" s="0" t="n">
        <v>0.104111423721865</v>
      </c>
      <c r="R49" s="0" t="n">
        <v>0.156179148539456</v>
      </c>
      <c r="S49" s="0" t="n">
        <v>0.505017837304628</v>
      </c>
      <c r="T49" s="0" t="n">
        <v>-0.0782284538116095</v>
      </c>
      <c r="U49" s="0" t="n">
        <v>0.157916798220152</v>
      </c>
      <c r="V49" s="0" t="n">
        <v>0.62033356188379</v>
      </c>
      <c r="W49" s="0" t="n">
        <v>0.0033322225924691</v>
      </c>
      <c r="X49" s="0" t="n">
        <v>5</v>
      </c>
      <c r="Y49" s="2" t="b">
        <f aca="false">TRUE()</f>
        <v>1</v>
      </c>
      <c r="Z49" s="0" t="n">
        <v>3.40125987920393E-217</v>
      </c>
      <c r="AA49" s="0" t="n">
        <v>0.0616661756811035</v>
      </c>
      <c r="AB49" s="0" t="n">
        <v>0.0007206708888733</v>
      </c>
      <c r="AC49" s="0" t="n">
        <v>62.6118098138703</v>
      </c>
      <c r="AD49" s="0" t="n">
        <v>0.471012186105088</v>
      </c>
    </row>
    <row r="50" customFormat="false" ht="15" hidden="false" customHeight="false" outlineLevel="0" collapsed="false">
      <c r="A50" s="0" t="s">
        <v>163</v>
      </c>
      <c r="B50" s="0" t="s">
        <v>17</v>
      </c>
      <c r="C50" s="0" t="n">
        <v>16</v>
      </c>
      <c r="D50" s="0" t="n">
        <v>-1.40427084289307</v>
      </c>
      <c r="E50" s="0" t="n">
        <v>0.579985170869477</v>
      </c>
      <c r="F50" s="0" t="n">
        <v>0.0286120211779903</v>
      </c>
      <c r="G50" s="0" t="n">
        <v>1039.35959165222</v>
      </c>
      <c r="H50" s="0" t="n">
        <v>0</v>
      </c>
      <c r="I50" s="0" t="n">
        <v>-1.30556025577921</v>
      </c>
      <c r="J50" s="0" t="n">
        <v>0.640325533679608</v>
      </c>
      <c r="K50" s="0" t="n">
        <v>0.0608055127254666</v>
      </c>
      <c r="L50" s="0" t="n">
        <v>-0.0223866090596385</v>
      </c>
      <c r="M50" s="0" t="n">
        <v>0.677947947644299</v>
      </c>
      <c r="N50" s="0" t="n">
        <v>-0.578680045242717</v>
      </c>
      <c r="O50" s="0" t="n">
        <v>1.0697524227132</v>
      </c>
      <c r="P50" s="0" t="n">
        <v>0.588543675119258</v>
      </c>
      <c r="Q50" s="0" t="n">
        <v>-0.0702815917870651</v>
      </c>
      <c r="R50" s="0" t="n">
        <v>0.232968100380636</v>
      </c>
      <c r="S50" s="0" t="n">
        <v>0.762896751489093</v>
      </c>
      <c r="T50" s="0" t="n">
        <v>-0.149884884775794</v>
      </c>
      <c r="U50" s="0" t="n">
        <v>1.3972550425051</v>
      </c>
      <c r="V50" s="0" t="n">
        <v>0.914574024983422</v>
      </c>
      <c r="W50" s="0" t="n">
        <v>0.0003332222592469</v>
      </c>
      <c r="X50" s="0" t="n">
        <v>14</v>
      </c>
      <c r="Y50" s="2" t="b">
        <f aca="false">TRUE()</f>
        <v>1</v>
      </c>
      <c r="Z50" s="0" t="n">
        <v>1.75119735243796E-062</v>
      </c>
      <c r="AA50" s="0" t="n">
        <v>0.0337071022306689</v>
      </c>
      <c r="AB50" s="0" t="n">
        <v>0.0042691342271418</v>
      </c>
      <c r="AC50" s="0" t="n">
        <v>81.4092440019962</v>
      </c>
      <c r="AD50" s="0" t="n">
        <v>0.107722499706462</v>
      </c>
    </row>
    <row r="51" customFormat="false" ht="15" hidden="false" customHeight="false" outlineLevel="0" collapsed="false">
      <c r="A51" s="0" t="s">
        <v>163</v>
      </c>
      <c r="B51" s="0" t="s">
        <v>51</v>
      </c>
      <c r="C51" s="0" t="n">
        <v>16</v>
      </c>
      <c r="D51" s="0" t="n">
        <v>-1.40022475299748</v>
      </c>
      <c r="E51" s="0" t="n">
        <v>0.542800706678471</v>
      </c>
      <c r="F51" s="0" t="n">
        <v>0.0209300790126428</v>
      </c>
      <c r="G51" s="0" t="n">
        <v>1149.86823724982</v>
      </c>
      <c r="H51" s="0" t="n">
        <v>0</v>
      </c>
      <c r="I51" s="0" t="n">
        <v>-1.31423709306475</v>
      </c>
      <c r="J51" s="0" t="n">
        <v>0.597998961600387</v>
      </c>
      <c r="K51" s="0" t="n">
        <v>0.0452930250753549</v>
      </c>
      <c r="L51" s="0" t="n">
        <v>-0.0198732158086912</v>
      </c>
      <c r="M51" s="0" t="n">
        <v>0.693090465532388</v>
      </c>
      <c r="N51" s="0" t="n">
        <v>-0.499456241030974</v>
      </c>
      <c r="O51" s="0" t="n">
        <v>1.02568060932741</v>
      </c>
      <c r="P51" s="0" t="n">
        <v>0.626293026364998</v>
      </c>
      <c r="Q51" s="0" t="n">
        <v>-0.181144919797223</v>
      </c>
      <c r="R51" s="0" t="n">
        <v>0.175497365295613</v>
      </c>
      <c r="S51" s="0" t="n">
        <v>0.301987670895901</v>
      </c>
      <c r="T51" s="0" t="n">
        <v>-0.140763901016744</v>
      </c>
      <c r="U51" s="0" t="n">
        <v>1.38138895534547</v>
      </c>
      <c r="V51" s="0" t="n">
        <v>0.918835839390013</v>
      </c>
      <c r="W51" s="0" t="n">
        <v>0.0003332222592469</v>
      </c>
      <c r="X51" s="0" t="n">
        <v>14</v>
      </c>
      <c r="Y51" s="2" t="b">
        <f aca="false">TRUE()</f>
        <v>1</v>
      </c>
      <c r="Z51" s="0" t="n">
        <v>7.23156726832691E-058</v>
      </c>
      <c r="AA51" s="0" t="n">
        <v>0.0337071022306689</v>
      </c>
      <c r="AB51" s="0" t="n">
        <v>0.0048977246540224</v>
      </c>
      <c r="AC51" s="0" t="n">
        <v>81.4092440019962</v>
      </c>
      <c r="AD51" s="0" t="n">
        <v>0.107722499706462</v>
      </c>
    </row>
    <row r="52" customFormat="false" ht="15" hidden="false" customHeight="false" outlineLevel="0" collapsed="false">
      <c r="A52" s="0" t="s">
        <v>163</v>
      </c>
      <c r="B52" s="0" t="s">
        <v>47</v>
      </c>
      <c r="C52" s="0" t="n">
        <v>16</v>
      </c>
      <c r="D52" s="0" t="n">
        <v>-0.102691948615674</v>
      </c>
      <c r="E52" s="0" t="n">
        <v>0.149601670424213</v>
      </c>
      <c r="F52" s="0" t="n">
        <v>0.502912186215268</v>
      </c>
      <c r="G52" s="0" t="n">
        <v>47.760826406609</v>
      </c>
      <c r="H52" s="0" t="n">
        <v>2.77904626240222E-005</v>
      </c>
      <c r="I52" s="0" t="n">
        <v>-0.0398925100904606</v>
      </c>
      <c r="J52" s="0" t="n">
        <v>0.159117863860331</v>
      </c>
      <c r="K52" s="0" t="n">
        <v>0.805680016854514</v>
      </c>
      <c r="L52" s="0" t="n">
        <v>-0.0144370345220935</v>
      </c>
      <c r="M52" s="0" t="n">
        <v>0.289311458859073</v>
      </c>
      <c r="N52" s="0" t="n">
        <v>-0.0340980151684743</v>
      </c>
      <c r="O52" s="0" t="n">
        <v>0.154620577125592</v>
      </c>
      <c r="P52" s="0" t="n">
        <v>0.825460731054442</v>
      </c>
      <c r="Q52" s="0" t="n">
        <v>-0.103067492452957</v>
      </c>
      <c r="R52" s="0" t="n">
        <v>0.242141361390413</v>
      </c>
      <c r="S52" s="0" t="n">
        <v>0.670362834640757</v>
      </c>
      <c r="T52" s="0" t="n">
        <v>-0.0337225202288564</v>
      </c>
      <c r="U52" s="0" t="n">
        <v>0.150074169404968</v>
      </c>
      <c r="V52" s="0" t="n">
        <v>0.822208235536412</v>
      </c>
      <c r="W52" s="0" t="n">
        <v>0.0003332222592469</v>
      </c>
      <c r="X52" s="0" t="n">
        <v>2</v>
      </c>
      <c r="Y52" s="2" t="b">
        <f aca="false">TRUE()</f>
        <v>1</v>
      </c>
      <c r="Z52" s="0" t="n">
        <v>1.12334996455875E-111</v>
      </c>
      <c r="AA52" s="0" t="n">
        <v>0.0337071022306689</v>
      </c>
      <c r="AB52" s="0" t="n">
        <v>0.0005668227840939</v>
      </c>
      <c r="AC52" s="0" t="n">
        <v>81.4092440019962</v>
      </c>
      <c r="AD52" s="0" t="n">
        <v>0.631564140828476</v>
      </c>
    </row>
    <row r="53" customFormat="false" ht="15" hidden="false" customHeight="false" outlineLevel="0" collapsed="false">
      <c r="A53" s="0" t="s">
        <v>163</v>
      </c>
      <c r="B53" s="0" t="s">
        <v>73</v>
      </c>
      <c r="C53" s="0" t="n">
        <v>16</v>
      </c>
      <c r="D53" s="0" t="n">
        <v>-0.0996775368003407</v>
      </c>
      <c r="E53" s="0" t="n">
        <v>0.0815518253760948</v>
      </c>
      <c r="F53" s="0" t="n">
        <v>0.240468706468274</v>
      </c>
      <c r="G53" s="0" t="n">
        <v>14.4868404711691</v>
      </c>
      <c r="H53" s="0" t="n">
        <v>0.488971914208339</v>
      </c>
      <c r="I53" s="0" t="n">
        <v>-0.0673437296817801</v>
      </c>
      <c r="J53" s="0" t="n">
        <v>0.0874828271358355</v>
      </c>
      <c r="K53" s="0" t="n">
        <v>0.454215818921984</v>
      </c>
      <c r="L53" s="0" t="n">
        <v>-0.0073606278999852</v>
      </c>
      <c r="M53" s="0" t="n">
        <v>0.324489293301779</v>
      </c>
      <c r="N53" s="0" t="n">
        <v>-0.112251384228454</v>
      </c>
      <c r="O53" s="0" t="n">
        <v>0.178593092794067</v>
      </c>
      <c r="P53" s="0" t="n">
        <v>0.529655819024537</v>
      </c>
      <c r="Q53" s="0" t="n">
        <v>0.0260763869279927</v>
      </c>
      <c r="R53" s="0" t="n">
        <v>0.120522611955609</v>
      </c>
      <c r="S53" s="0" t="n">
        <v>0.828706402026275</v>
      </c>
      <c r="T53" s="0" t="n">
        <v>-0.0453983726016724</v>
      </c>
      <c r="U53" s="0" t="n">
        <v>0.1857358147328</v>
      </c>
      <c r="V53" s="0" t="n">
        <v>0.806902114906402</v>
      </c>
      <c r="W53" s="0" t="n">
        <v>0.496834388537154</v>
      </c>
      <c r="X53" s="0" t="n">
        <v>1</v>
      </c>
      <c r="Y53" s="2" t="b">
        <f aca="false">TRUE()</f>
        <v>1</v>
      </c>
      <c r="Z53" s="0" t="n">
        <v>2.65444889077334E-137</v>
      </c>
      <c r="AA53" s="0" t="n">
        <v>0.0337071022306689</v>
      </c>
      <c r="AB53" s="0" t="n">
        <v>3.47398749615028E-005</v>
      </c>
      <c r="AC53" s="0" t="n">
        <v>81.4092440019962</v>
      </c>
      <c r="AD53" s="0" t="n">
        <v>0.371008861408194</v>
      </c>
    </row>
    <row r="54" customFormat="false" ht="15" hidden="false" customHeight="false" outlineLevel="0" collapsed="false">
      <c r="A54" s="0" t="s">
        <v>163</v>
      </c>
      <c r="B54" s="0" t="s">
        <v>9</v>
      </c>
      <c r="C54" s="0" t="n">
        <v>16</v>
      </c>
      <c r="D54" s="0" t="n">
        <v>-1.87890867531072</v>
      </c>
      <c r="E54" s="0" t="n">
        <v>0.867912020069449</v>
      </c>
      <c r="F54" s="0" t="n">
        <v>0.0469327275697214</v>
      </c>
      <c r="G54" s="0" t="n">
        <v>2313.69406642624</v>
      </c>
      <c r="H54" s="0" t="n">
        <v>0</v>
      </c>
      <c r="I54" s="0" t="n">
        <v>-1.71201611357888</v>
      </c>
      <c r="J54" s="0" t="n">
        <v>0.966093665398794</v>
      </c>
      <c r="K54" s="0" t="n">
        <v>0.0981305267931903</v>
      </c>
      <c r="L54" s="0" t="n">
        <v>-0.03630879795418</v>
      </c>
      <c r="M54" s="0" t="n">
        <v>0.659835152892561</v>
      </c>
      <c r="N54" s="0" t="n">
        <v>-0.755211791272844</v>
      </c>
      <c r="O54" s="0" t="n">
        <v>1.47366073644579</v>
      </c>
      <c r="P54" s="0" t="n">
        <v>0.608319797100803</v>
      </c>
      <c r="Q54" s="0" t="n">
        <v>-0.150478707148233</v>
      </c>
      <c r="R54" s="0" t="n">
        <v>0.364733661982153</v>
      </c>
      <c r="S54" s="0" t="n">
        <v>0.679920599405554</v>
      </c>
      <c r="T54" s="0" t="n">
        <v>-0.114513347336453</v>
      </c>
      <c r="U54" s="0" t="n">
        <v>2.10181740461519</v>
      </c>
      <c r="V54" s="0" t="n">
        <v>0.95655034125512</v>
      </c>
      <c r="W54" s="0" t="n">
        <v>0.0003332222592469</v>
      </c>
      <c r="X54" s="0" t="n">
        <v>14</v>
      </c>
      <c r="Y54" s="2" t="b">
        <f aca="false">FALSE()</f>
        <v>0</v>
      </c>
      <c r="Z54" s="0" t="n">
        <v>2.01279385710355E-053</v>
      </c>
      <c r="AA54" s="0" t="n">
        <v>0.0337071022306689</v>
      </c>
      <c r="AB54" s="0" t="n">
        <v>0.0884705499149747</v>
      </c>
      <c r="AC54" s="0" t="n">
        <v>81.4092440019962</v>
      </c>
      <c r="AD54" s="0" t="n">
        <v>0.140798182709164</v>
      </c>
    </row>
    <row r="55" customFormat="false" ht="15" hidden="false" customHeight="false" outlineLevel="0" collapsed="false">
      <c r="A55" s="0" t="s">
        <v>163</v>
      </c>
      <c r="B55" s="0" t="s">
        <v>13</v>
      </c>
      <c r="C55" s="0" t="n">
        <v>17</v>
      </c>
      <c r="D55" s="0" t="n">
        <v>-0.627451761615349</v>
      </c>
      <c r="E55" s="0" t="n">
        <v>0.255184074891114</v>
      </c>
      <c r="F55" s="0" t="n">
        <v>0.0257145883546968</v>
      </c>
      <c r="G55" s="0" t="n">
        <v>386.983228282947</v>
      </c>
      <c r="H55" s="0" t="n">
        <v>0</v>
      </c>
      <c r="I55" s="0" t="n">
        <v>-0.602740426578192</v>
      </c>
      <c r="J55" s="0" t="n">
        <v>0.297024430209467</v>
      </c>
      <c r="K55" s="0" t="n">
        <v>0.0605641505236009</v>
      </c>
      <c r="L55" s="0" t="n">
        <v>-0.0047078935899353</v>
      </c>
      <c r="M55" s="0" t="n">
        <v>0.859801644603987</v>
      </c>
      <c r="N55" s="0" t="n">
        <v>-0.354168956559642</v>
      </c>
      <c r="O55" s="0" t="n">
        <v>0.587173041259999</v>
      </c>
      <c r="P55" s="0" t="n">
        <v>0.546391305709614</v>
      </c>
      <c r="Q55" s="0" t="n">
        <v>-0.0762051365951457</v>
      </c>
      <c r="R55" s="0" t="n">
        <v>0.224281074148759</v>
      </c>
      <c r="S55" s="0" t="n">
        <v>0.734025859856308</v>
      </c>
      <c r="T55" s="0" t="n">
        <v>0.0108929320514157</v>
      </c>
      <c r="U55" s="0" t="n">
        <v>0.803172245634684</v>
      </c>
      <c r="V55" s="0" t="n">
        <v>0.989179113301823</v>
      </c>
      <c r="W55" s="0" t="n">
        <v>0.0003332222592469</v>
      </c>
      <c r="X55" s="0" t="n">
        <v>10</v>
      </c>
      <c r="Y55" s="2" t="b">
        <f aca="false">TRUE()</f>
        <v>1</v>
      </c>
      <c r="Z55" s="0" t="n">
        <v>1.24368615446128E-078</v>
      </c>
      <c r="AA55" s="0" t="n">
        <v>0.0422573672473029</v>
      </c>
      <c r="AB55" s="0" t="n">
        <v>0.0053384977613918</v>
      </c>
      <c r="AC55" s="0" t="n">
        <v>96.1436847739497</v>
      </c>
      <c r="AD55" s="0" t="n">
        <v>0.107722499706462</v>
      </c>
    </row>
  </sheetData>
  <autoFilter ref="A1:AD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23"/>
    <col collapsed="false" customWidth="true" hidden="false" outlineLevel="0" max="17" min="17" style="0" width="21"/>
    <col collapsed="false" customWidth="true" hidden="false" outlineLevel="0" max="19" min="18" style="0" width="20"/>
    <col collapsed="false" customWidth="true" hidden="false" outlineLevel="0" max="20" min="20" style="0" width="21"/>
    <col collapsed="false" customWidth="true" hidden="false" outlineLevel="0" max="21" min="21" style="0" width="20"/>
    <col collapsed="false" customWidth="true" hidden="false" outlineLevel="0" max="22" min="22" style="0" width="23"/>
    <col collapsed="false" customWidth="true" hidden="false" outlineLevel="0" max="23" min="23" style="0" width="20"/>
    <col collapsed="false" customWidth="true" hidden="false" outlineLevel="0" max="24" min="24" style="0" width="19"/>
    <col collapsed="false" customWidth="true" hidden="false" outlineLevel="0" max="25" min="25" style="0" width="17"/>
    <col collapsed="false" customWidth="true" hidden="false" outlineLevel="0" max="26" min="26" style="0" width="23"/>
    <col collapsed="false" customWidth="true" hidden="false" outlineLevel="0" max="27" min="27" style="0" width="19"/>
  </cols>
  <sheetData>
    <row r="1" customFormat="false" ht="15" hidden="false" customHeight="false" outlineLevel="0" collapsed="false">
      <c r="A1" s="1" t="s">
        <v>0</v>
      </c>
      <c r="B1" s="1" t="s">
        <v>125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153</v>
      </c>
    </row>
    <row r="2" customFormat="false" ht="15" hidden="false" customHeight="false" outlineLevel="0" collapsed="false">
      <c r="A2" s="0" t="s">
        <v>13</v>
      </c>
      <c r="B2" s="0" t="s">
        <v>155</v>
      </c>
      <c r="C2" s="0" t="n">
        <v>8</v>
      </c>
      <c r="D2" s="0" t="n">
        <v>-0.0438907051718351</v>
      </c>
      <c r="E2" s="0" t="n">
        <v>0.0350802254684484</v>
      </c>
      <c r="F2" s="0" t="n">
        <v>0.251071848015009</v>
      </c>
      <c r="G2" s="0" t="n">
        <v>45.0001776668256</v>
      </c>
      <c r="H2" s="0" t="n">
        <v>1.36749425450056E-007</v>
      </c>
      <c r="I2" s="0" t="n">
        <v>-0.047921250329425</v>
      </c>
      <c r="J2" s="0" t="n">
        <v>0.0346522767778688</v>
      </c>
      <c r="K2" s="0" t="n">
        <v>0.215954651894166</v>
      </c>
      <c r="L2" s="0" t="n">
        <v>0.0077638581106248</v>
      </c>
      <c r="M2" s="0" t="n">
        <v>0.305900734607572</v>
      </c>
      <c r="N2" s="0" t="n">
        <v>-0.0728219720791634</v>
      </c>
      <c r="O2" s="0" t="n">
        <v>0.0386174873548698</v>
      </c>
      <c r="P2" s="0" t="n">
        <v>0.0593319846909377</v>
      </c>
      <c r="Q2" s="0" t="n">
        <v>-0.055038870852051</v>
      </c>
      <c r="R2" s="0" t="n">
        <v>0.092028247059169</v>
      </c>
      <c r="S2" s="0" t="n">
        <v>0.549796582558016</v>
      </c>
      <c r="T2" s="0" t="n">
        <v>-0.0655893346053379</v>
      </c>
      <c r="U2" s="0" t="n">
        <v>0.0358181216052004</v>
      </c>
      <c r="V2" s="0" t="n">
        <v>0.0670740696072068</v>
      </c>
      <c r="W2" s="0" t="n">
        <v>0.0003332222592469</v>
      </c>
      <c r="X2" s="0" t="n">
        <v>3</v>
      </c>
      <c r="Y2" s="2" t="b">
        <f aca="false">TRUE()</f>
        <v>1</v>
      </c>
      <c r="Z2" s="0" t="n">
        <v>2.50911954333983E-024</v>
      </c>
      <c r="AA2" s="0" t="n">
        <v>161.91958707396</v>
      </c>
    </row>
    <row r="3" customFormat="false" ht="15" hidden="false" customHeight="false" outlineLevel="0" collapsed="false">
      <c r="A3" s="0" t="s">
        <v>13</v>
      </c>
      <c r="B3" s="0" t="s">
        <v>156</v>
      </c>
      <c r="C3" s="0" t="n">
        <v>8</v>
      </c>
      <c r="D3" s="0" t="n">
        <v>0.0282203055220881</v>
      </c>
      <c r="E3" s="0" t="n">
        <v>0.0151063705346222</v>
      </c>
      <c r="F3" s="0" t="n">
        <v>0.10396658252784</v>
      </c>
      <c r="G3" s="0" t="n">
        <v>4.47622872627009</v>
      </c>
      <c r="H3" s="0" t="n">
        <v>0.723577814679525</v>
      </c>
      <c r="I3" s="0" t="n">
        <v>0.0286265183959769</v>
      </c>
      <c r="J3" s="0" t="n">
        <v>0.0151886946898267</v>
      </c>
      <c r="K3" s="0" t="n">
        <v>0.108442248470341</v>
      </c>
      <c r="L3" s="0" t="n">
        <v>-0.0007821850344509</v>
      </c>
      <c r="M3" s="0" t="n">
        <v>0.805603061689034</v>
      </c>
      <c r="N3" s="0" t="n">
        <v>0.0202205899688769</v>
      </c>
      <c r="O3" s="0" t="n">
        <v>0.0207247898053351</v>
      </c>
      <c r="P3" s="0" t="n">
        <v>0.329227203018564</v>
      </c>
      <c r="Q3" s="0" t="n">
        <v>0.0649510505042561</v>
      </c>
      <c r="R3" s="0" t="n">
        <v>0.0310440138392594</v>
      </c>
      <c r="S3" s="0" t="n">
        <v>0.0364184258275371</v>
      </c>
      <c r="T3" s="0" t="n">
        <v>0.0208124613625115</v>
      </c>
      <c r="U3" s="0" t="n">
        <v>0.0212205396466343</v>
      </c>
      <c r="V3" s="0" t="n">
        <v>0.326706345284161</v>
      </c>
      <c r="W3" s="0" t="n">
        <v>0.716427857380873</v>
      </c>
      <c r="X3" s="0" t="n">
        <v>0</v>
      </c>
      <c r="Y3" s="2" t="b">
        <f aca="false">TRUE()</f>
        <v>1</v>
      </c>
      <c r="Z3" s="0" t="n">
        <v>4.04899881491392E-041</v>
      </c>
      <c r="AA3" s="0" t="n">
        <v>161.91958707396</v>
      </c>
    </row>
    <row r="4" customFormat="false" ht="15" hidden="false" customHeight="false" outlineLevel="0" collapsed="false">
      <c r="A4" s="0" t="s">
        <v>13</v>
      </c>
      <c r="B4" s="0" t="s">
        <v>157</v>
      </c>
      <c r="C4" s="0" t="n">
        <v>8</v>
      </c>
      <c r="D4" s="0" t="n">
        <v>0.0190365936224067</v>
      </c>
      <c r="E4" s="0" t="n">
        <v>0.014539409398389</v>
      </c>
      <c r="F4" s="0" t="n">
        <v>0.231766451746587</v>
      </c>
      <c r="G4" s="0" t="n">
        <v>5.17409454460578</v>
      </c>
      <c r="H4" s="0" t="n">
        <v>0.638727011651147</v>
      </c>
      <c r="I4" s="0" t="n">
        <v>0.0202970839526523</v>
      </c>
      <c r="J4" s="0" t="n">
        <v>0.0146186444007531</v>
      </c>
      <c r="K4" s="0" t="n">
        <v>0.21435558634304</v>
      </c>
      <c r="L4" s="0" t="n">
        <v>-0.0024271376148017</v>
      </c>
      <c r="M4" s="0" t="n">
        <v>0.438684740443766</v>
      </c>
      <c r="N4" s="0" t="n">
        <v>0.0159714179255336</v>
      </c>
      <c r="O4" s="0" t="n">
        <v>0.0188325422460032</v>
      </c>
      <c r="P4" s="0" t="n">
        <v>0.396395917810398</v>
      </c>
      <c r="Q4" s="0" t="n">
        <v>0.0282317882319872</v>
      </c>
      <c r="R4" s="0" t="n">
        <v>0.027659414671908</v>
      </c>
      <c r="S4" s="0" t="n">
        <v>0.307399615725546</v>
      </c>
      <c r="T4" s="0" t="n">
        <v>0.013480270759822</v>
      </c>
      <c r="U4" s="0" t="n">
        <v>0.0201484124676711</v>
      </c>
      <c r="V4" s="0" t="n">
        <v>0.503464362302123</v>
      </c>
      <c r="W4" s="0" t="n">
        <v>0.637120959680107</v>
      </c>
      <c r="X4" s="0" t="n">
        <v>0</v>
      </c>
      <c r="Y4" s="2" t="b">
        <f aca="false">TRUE()</f>
        <v>1</v>
      </c>
      <c r="Z4" s="0" t="n">
        <v>6.0611849894954E-042</v>
      </c>
      <c r="AA4" s="0" t="n">
        <v>161.91958707396</v>
      </c>
    </row>
    <row r="5" customFormat="false" ht="15" hidden="false" customHeight="false" outlineLevel="0" collapsed="false">
      <c r="A5" s="0" t="s">
        <v>13</v>
      </c>
      <c r="B5" s="0" t="s">
        <v>158</v>
      </c>
      <c r="C5" s="0" t="n">
        <v>8</v>
      </c>
      <c r="D5" s="0" t="n">
        <v>-0.0141194463369603</v>
      </c>
      <c r="E5" s="0" t="n">
        <v>0.0218475170114761</v>
      </c>
      <c r="F5" s="0" t="n">
        <v>0.538705876877628</v>
      </c>
      <c r="G5" s="0" t="n">
        <v>15.7214907792346</v>
      </c>
      <c r="H5" s="0" t="n">
        <v>0.0277862966595304</v>
      </c>
      <c r="I5" s="0" t="n">
        <v>-0.0123830409695838</v>
      </c>
      <c r="J5" s="0" t="n">
        <v>0.0227261194120646</v>
      </c>
      <c r="K5" s="0" t="n">
        <v>0.605480010628742</v>
      </c>
      <c r="L5" s="0" t="n">
        <v>-0.0033433610071155</v>
      </c>
      <c r="M5" s="0" t="n">
        <v>0.490173567288447</v>
      </c>
      <c r="N5" s="0" t="n">
        <v>-0.0294456289389859</v>
      </c>
      <c r="O5" s="0" t="n">
        <v>0.0283142708840266</v>
      </c>
      <c r="P5" s="0" t="n">
        <v>0.298359800982249</v>
      </c>
      <c r="Q5" s="0" t="n">
        <v>0.0124897082742715</v>
      </c>
      <c r="R5" s="0" t="n">
        <v>0.0383460408455131</v>
      </c>
      <c r="S5" s="0" t="n">
        <v>0.744643396525113</v>
      </c>
      <c r="T5" s="0" t="n">
        <v>-0.0265409745430102</v>
      </c>
      <c r="U5" s="0" t="n">
        <v>0.0251909557275061</v>
      </c>
      <c r="V5" s="0" t="n">
        <v>0.29207002405432</v>
      </c>
      <c r="W5" s="0" t="n">
        <v>0.0243252249250249</v>
      </c>
      <c r="X5" s="0" t="n">
        <v>2</v>
      </c>
      <c r="Y5" s="2" t="b">
        <f aca="false">TRUE()</f>
        <v>1</v>
      </c>
      <c r="Z5" s="0" t="n">
        <v>4.55001008278848E-036</v>
      </c>
      <c r="AA5" s="0" t="n">
        <v>161.91958707396</v>
      </c>
    </row>
    <row r="6" customFormat="false" ht="15" hidden="false" customHeight="false" outlineLevel="0" collapsed="false">
      <c r="A6" s="0" t="s">
        <v>13</v>
      </c>
      <c r="B6" s="0" t="s">
        <v>159</v>
      </c>
      <c r="C6" s="0" t="n">
        <v>8</v>
      </c>
      <c r="D6" s="0" t="n">
        <v>0.0037800391553873</v>
      </c>
      <c r="E6" s="0" t="n">
        <v>0.0144805399321843</v>
      </c>
      <c r="F6" s="0" t="n">
        <v>0.801572910240734</v>
      </c>
      <c r="G6" s="0" t="n">
        <v>5.76068090758863</v>
      </c>
      <c r="H6" s="0" t="n">
        <v>0.567954830197438</v>
      </c>
      <c r="I6" s="0" t="n">
        <v>0.0048326644506712</v>
      </c>
      <c r="J6" s="0" t="n">
        <v>0.0145594685595164</v>
      </c>
      <c r="K6" s="0" t="n">
        <v>0.751233492026415</v>
      </c>
      <c r="L6" s="0" t="n">
        <v>-0.0020266990970156</v>
      </c>
      <c r="M6" s="0" t="n">
        <v>0.512894732868271</v>
      </c>
      <c r="N6" s="0" t="n">
        <v>-0.0023405272676317</v>
      </c>
      <c r="O6" s="0" t="n">
        <v>0.0233775056851862</v>
      </c>
      <c r="P6" s="0" t="n">
        <v>0.920250028710187</v>
      </c>
      <c r="Q6" s="0" t="n">
        <v>0.0513625811428707</v>
      </c>
      <c r="R6" s="0" t="n">
        <v>0.0353606555393493</v>
      </c>
      <c r="S6" s="0" t="n">
        <v>0.146352972602546</v>
      </c>
      <c r="T6" s="0" t="n">
        <v>-0.0055966150091739</v>
      </c>
      <c r="U6" s="0" t="n">
        <v>0.0251161597508565</v>
      </c>
      <c r="V6" s="0" t="n">
        <v>0.823668403039992</v>
      </c>
      <c r="W6" s="0" t="n">
        <v>0.567477507497501</v>
      </c>
      <c r="X6" s="0" t="n">
        <v>0</v>
      </c>
      <c r="Y6" s="2" t="b">
        <f aca="false">TRUE()</f>
        <v>1</v>
      </c>
      <c r="Z6" s="0" t="n">
        <v>7.88520952105766E-043</v>
      </c>
      <c r="AA6" s="0" t="n">
        <v>161.91958707396</v>
      </c>
    </row>
    <row r="7" customFormat="false" ht="15" hidden="false" customHeight="false" outlineLevel="0" collapsed="false">
      <c r="A7" s="0" t="s">
        <v>13</v>
      </c>
      <c r="B7" s="0" t="s">
        <v>160</v>
      </c>
      <c r="C7" s="0" t="n">
        <v>8</v>
      </c>
      <c r="D7" s="0" t="n">
        <v>-0.0226028929700179</v>
      </c>
      <c r="E7" s="0" t="n">
        <v>0.0148841039678259</v>
      </c>
      <c r="F7" s="0" t="n">
        <v>0.172659611165864</v>
      </c>
      <c r="G7" s="0" t="n">
        <v>6.41079531416826</v>
      </c>
      <c r="H7" s="0" t="n">
        <v>0.492682643877506</v>
      </c>
      <c r="I7" s="0" t="n">
        <v>-0.0241283739583841</v>
      </c>
      <c r="J7" s="0" t="n">
        <v>0.0149651946957482</v>
      </c>
      <c r="K7" s="0" t="n">
        <v>0.158023329107407</v>
      </c>
      <c r="L7" s="0" t="n">
        <v>0.0029378054191881</v>
      </c>
      <c r="M7" s="0" t="n">
        <v>0.364698520968366</v>
      </c>
      <c r="N7" s="0" t="n">
        <v>-0.0201365947530695</v>
      </c>
      <c r="O7" s="0" t="n">
        <v>0.021128229682671</v>
      </c>
      <c r="P7" s="0" t="n">
        <v>0.340556693840397</v>
      </c>
      <c r="Q7" s="0" t="n">
        <v>-0.0404006539481504</v>
      </c>
      <c r="R7" s="0" t="n">
        <v>0.0203867700151661</v>
      </c>
      <c r="S7" s="0" t="n">
        <v>0.0475117735878628</v>
      </c>
      <c r="T7" s="0" t="n">
        <v>-0.0175958830412037</v>
      </c>
      <c r="U7" s="0" t="n">
        <v>0.0206290963379352</v>
      </c>
      <c r="V7" s="0" t="n">
        <v>0.393679093287053</v>
      </c>
      <c r="W7" s="0" t="n">
        <v>0.492169276907697</v>
      </c>
      <c r="X7" s="0" t="n">
        <v>0</v>
      </c>
      <c r="Y7" s="2" t="b">
        <f aca="false">TRUE()</f>
        <v>1</v>
      </c>
      <c r="Z7" s="0" t="n">
        <v>1.39526750930925E-040</v>
      </c>
      <c r="AA7" s="0" t="n">
        <v>161.91958707396</v>
      </c>
    </row>
    <row r="8" customFormat="false" ht="15" hidden="false" customHeight="false" outlineLevel="0" collapsed="false">
      <c r="A8" s="0" t="s">
        <v>13</v>
      </c>
      <c r="B8" s="0" t="s">
        <v>161</v>
      </c>
      <c r="C8" s="0" t="n">
        <v>8</v>
      </c>
      <c r="D8" s="0" t="n">
        <v>-0.260891308173649</v>
      </c>
      <c r="E8" s="0" t="n">
        <v>0.0277572409274354</v>
      </c>
      <c r="F8" s="0" t="n">
        <v>3.21426098526251E-005</v>
      </c>
      <c r="G8" s="0" t="n">
        <v>24.3545112085623</v>
      </c>
      <c r="H8" s="0" t="n">
        <v>0.0009868441533775</v>
      </c>
      <c r="I8" s="0" t="n">
        <v>-0.265863334531495</v>
      </c>
      <c r="J8" s="0" t="n">
        <v>0.0228360014608292</v>
      </c>
      <c r="K8" s="0" t="n">
        <v>2.4191729841925E-005</v>
      </c>
      <c r="L8" s="0" t="n">
        <v>0.0096582373766937</v>
      </c>
      <c r="M8" s="0" t="n">
        <v>0.0793386153905538</v>
      </c>
      <c r="N8" s="0" t="n">
        <v>-0.272368661220131</v>
      </c>
      <c r="O8" s="0" t="n">
        <v>0.0420658224460243</v>
      </c>
      <c r="P8" s="0" t="n">
        <v>9.49245441009543E-011</v>
      </c>
      <c r="Q8" s="0" t="n">
        <v>-0.249646423191515</v>
      </c>
      <c r="R8" s="0" t="n">
        <v>0.0886686789961308</v>
      </c>
      <c r="S8" s="0" t="n">
        <v>0.0048701811503944</v>
      </c>
      <c r="T8" s="0" t="n">
        <v>-0.275876952679186</v>
      </c>
      <c r="U8" s="0" t="n">
        <v>0.0454963490834122</v>
      </c>
      <c r="V8" s="0" t="n">
        <v>1.33011708103771E-009</v>
      </c>
      <c r="W8" s="0" t="n">
        <v>0.0013328890369876</v>
      </c>
      <c r="X8" s="0" t="n">
        <v>3</v>
      </c>
      <c r="Y8" s="2" t="b">
        <f aca="false">TRUE()</f>
        <v>1</v>
      </c>
      <c r="Z8" s="0" t="n">
        <v>0.0113986934997268</v>
      </c>
      <c r="AA8" s="0" t="n">
        <v>161.91958707396</v>
      </c>
    </row>
    <row r="9" customFormat="false" ht="15" hidden="false" customHeight="false" outlineLevel="0" collapsed="false">
      <c r="A9" s="0" t="s">
        <v>13</v>
      </c>
      <c r="B9" s="0" t="s">
        <v>162</v>
      </c>
      <c r="C9" s="0" t="n">
        <v>8</v>
      </c>
      <c r="D9" s="0" t="n">
        <v>0.0360309027379913</v>
      </c>
      <c r="E9" s="0" t="n">
        <v>0.0150709265123317</v>
      </c>
      <c r="F9" s="0" t="n">
        <v>0.0481153410931979</v>
      </c>
      <c r="G9" s="0" t="n">
        <v>3.59896206522619</v>
      </c>
      <c r="H9" s="0" t="n">
        <v>0.824635093266461</v>
      </c>
      <c r="I9" s="0" t="n">
        <v>0.0354056645453693</v>
      </c>
      <c r="J9" s="0" t="n">
        <v>0.0151530863350242</v>
      </c>
      <c r="K9" s="0" t="n">
        <v>0.0581190145592776</v>
      </c>
      <c r="L9" s="0" t="n">
        <v>0.0012037354807009</v>
      </c>
      <c r="M9" s="0" t="n">
        <v>0.705264221036862</v>
      </c>
      <c r="N9" s="0" t="n">
        <v>0.0331741871770453</v>
      </c>
      <c r="O9" s="0" t="n">
        <v>0.0118283080070098</v>
      </c>
      <c r="P9" s="0" t="n">
        <v>0.0050372259334178</v>
      </c>
      <c r="Q9" s="0" t="n">
        <v>0.0365189133768976</v>
      </c>
      <c r="R9" s="0" t="n">
        <v>0.0172551681885411</v>
      </c>
      <c r="S9" s="0" t="n">
        <v>0.0343104306433507</v>
      </c>
      <c r="T9" s="0" t="n">
        <v>0.0317212451745842</v>
      </c>
      <c r="U9" s="0" t="n">
        <v>0.0114426378954571</v>
      </c>
      <c r="V9" s="0" t="n">
        <v>0.0055679347654343</v>
      </c>
      <c r="W9" s="0" t="n">
        <v>0.823725424858381</v>
      </c>
      <c r="X9" s="0" t="n">
        <v>0</v>
      </c>
      <c r="Y9" s="2" t="b">
        <f aca="false">TRUE()</f>
        <v>1</v>
      </c>
      <c r="Z9" s="0" t="n">
        <v>3.57806982767213E-040</v>
      </c>
      <c r="AA9" s="0" t="n">
        <v>161.91958707396</v>
      </c>
    </row>
    <row r="10" customFormat="false" ht="15" hidden="false" customHeight="false" outlineLevel="0" collapsed="false">
      <c r="A10" s="0" t="s">
        <v>13</v>
      </c>
      <c r="B10" s="0" t="s">
        <v>163</v>
      </c>
      <c r="C10" s="0" t="n">
        <v>8</v>
      </c>
      <c r="D10" s="0" t="n">
        <v>-0.159416823491312</v>
      </c>
      <c r="E10" s="0" t="n">
        <v>0.0668374669698447</v>
      </c>
      <c r="F10" s="0" t="n">
        <v>0.0485140178899665</v>
      </c>
      <c r="G10" s="0" t="n">
        <v>139.285683849</v>
      </c>
      <c r="H10" s="0" t="n">
        <v>0</v>
      </c>
      <c r="I10" s="0" t="n">
        <v>-0.164718436935664</v>
      </c>
      <c r="J10" s="0" t="n">
        <v>0.0694551426679933</v>
      </c>
      <c r="K10" s="0" t="n">
        <v>0.0554010621454622</v>
      </c>
      <c r="L10" s="0" t="n">
        <v>0.0103313303063253</v>
      </c>
      <c r="M10" s="0" t="n">
        <v>0.485746839974631</v>
      </c>
      <c r="N10" s="0" t="n">
        <v>-0.21480393157702</v>
      </c>
      <c r="O10" s="0" t="n">
        <v>0.137526589963943</v>
      </c>
      <c r="P10" s="0" t="n">
        <v>0.118309577072854</v>
      </c>
      <c r="Q10" s="0" t="n">
        <v>-0.0732086007372159</v>
      </c>
      <c r="R10" s="0" t="n">
        <v>0.144148517896572</v>
      </c>
      <c r="S10" s="0" t="n">
        <v>0.611545035702829</v>
      </c>
      <c r="T10" s="0" t="n">
        <v>-0.156727953661284</v>
      </c>
      <c r="U10" s="0" t="n">
        <v>0.128635394175577</v>
      </c>
      <c r="V10" s="0" t="n">
        <v>0.223076170274655</v>
      </c>
      <c r="W10" s="0" t="n">
        <v>0.0003332222592469</v>
      </c>
      <c r="X10" s="0" t="n">
        <v>6</v>
      </c>
      <c r="Y10" s="2" t="b">
        <f aca="false">TRUE()</f>
        <v>1</v>
      </c>
      <c r="Z10" s="0" t="n">
        <v>2.89193905750572E-005</v>
      </c>
      <c r="AA10" s="0" t="n">
        <v>161.91958707396</v>
      </c>
    </row>
  </sheetData>
  <autoFilter ref="A1:AA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3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125</v>
      </c>
      <c r="H1" s="1" t="s">
        <v>0</v>
      </c>
      <c r="I1" s="1" t="s">
        <v>170</v>
      </c>
    </row>
    <row r="2" customFormat="false" ht="15" hidden="false" customHeight="false" outlineLevel="0" collapsed="false">
      <c r="A2" s="0" t="n">
        <v>4.023155013011E-006</v>
      </c>
      <c r="B2" s="0" t="n">
        <v>0.832869652552457</v>
      </c>
      <c r="C2" s="0" t="n">
        <v>7.45244975510921E-007</v>
      </c>
      <c r="D2" s="0" t="n">
        <v>0.154254149865857</v>
      </c>
      <c r="E2" s="0" t="n">
        <v>0.0128714291816977</v>
      </c>
      <c r="F2" s="0" t="n">
        <v>3473</v>
      </c>
      <c r="G2" s="0" t="s">
        <v>155</v>
      </c>
      <c r="H2" s="0" t="s">
        <v>13</v>
      </c>
      <c r="I2" s="0" t="s">
        <v>171</v>
      </c>
    </row>
    <row r="3" customFormat="false" ht="15" hidden="false" customHeight="false" outlineLevel="0" collapsed="false">
      <c r="A3" s="0" t="n">
        <v>3.9073413917042E-015</v>
      </c>
      <c r="B3" s="0" t="n">
        <v>0.0001515616671948</v>
      </c>
      <c r="C3" s="0" t="n">
        <v>5.4028463621631E-014</v>
      </c>
      <c r="D3" s="0" t="n">
        <v>9.62028659923592E-005</v>
      </c>
      <c r="E3" s="0" t="n">
        <v>0.999752235466753</v>
      </c>
      <c r="F3" s="0" t="n">
        <v>1974</v>
      </c>
      <c r="G3" s="0" t="s">
        <v>155</v>
      </c>
      <c r="H3" s="0" t="s">
        <v>13</v>
      </c>
      <c r="I3" s="0" t="s">
        <v>172</v>
      </c>
    </row>
    <row r="4" customFormat="false" ht="15" hidden="false" customHeight="false" outlineLevel="0" collapsed="false">
      <c r="A4" s="0" t="n">
        <v>7.3428121067614E-005</v>
      </c>
      <c r="B4" s="0" t="n">
        <v>0.839234064256651</v>
      </c>
      <c r="C4" s="0" t="n">
        <v>1.35033552586411E-005</v>
      </c>
      <c r="D4" s="0" t="n">
        <v>0.15432155854551</v>
      </c>
      <c r="E4" s="0" t="n">
        <v>0.0063574457215125</v>
      </c>
      <c r="F4" s="0" t="n">
        <v>3698</v>
      </c>
      <c r="G4" s="0" t="s">
        <v>155</v>
      </c>
      <c r="H4" s="0" t="s">
        <v>13</v>
      </c>
      <c r="I4" s="0" t="s">
        <v>173</v>
      </c>
    </row>
    <row r="5" customFormat="false" ht="15" hidden="false" customHeight="false" outlineLevel="0" collapsed="false">
      <c r="A5" s="0" t="n">
        <v>0.0001651778944368</v>
      </c>
      <c r="B5" s="0" t="n">
        <v>0.806442010738136</v>
      </c>
      <c r="C5" s="0" t="n">
        <v>3.80270932157171E-005</v>
      </c>
      <c r="D5" s="0" t="n">
        <v>0.185642866700377</v>
      </c>
      <c r="E5" s="0" t="n">
        <v>0.0077119175738334</v>
      </c>
      <c r="F5" s="0" t="n">
        <v>3194</v>
      </c>
      <c r="G5" s="0" t="s">
        <v>155</v>
      </c>
      <c r="H5" s="0" t="s">
        <v>13</v>
      </c>
      <c r="I5" s="0" t="s">
        <v>174</v>
      </c>
    </row>
    <row r="6" customFormat="false" ht="15" hidden="false" customHeight="false" outlineLevel="0" collapsed="false">
      <c r="A6" s="0" t="n">
        <v>1.3291570911602E-109</v>
      </c>
      <c r="B6" s="0" t="n">
        <v>3.6781875484929E-108</v>
      </c>
      <c r="C6" s="0" t="n">
        <v>0.033036799945445</v>
      </c>
      <c r="D6" s="0" t="n">
        <v>0.914124453840756</v>
      </c>
      <c r="E6" s="0" t="n">
        <v>0.0528387462137869</v>
      </c>
      <c r="F6" s="0" t="n">
        <v>2166</v>
      </c>
      <c r="G6" s="0" t="s">
        <v>155</v>
      </c>
      <c r="H6" s="0" t="s">
        <v>13</v>
      </c>
      <c r="I6" s="0" t="s">
        <v>175</v>
      </c>
    </row>
    <row r="7" customFormat="false" ht="15" hidden="false" customHeight="false" outlineLevel="0" collapsed="false">
      <c r="A7" s="0" t="n">
        <v>0.0078528244120285</v>
      </c>
      <c r="B7" s="0" t="n">
        <v>0.0007559235506372</v>
      </c>
      <c r="C7" s="0" t="n">
        <v>0.882752108838763</v>
      </c>
      <c r="D7" s="0" t="n">
        <v>0.0849274944433928</v>
      </c>
      <c r="E7" s="0" t="n">
        <v>0.0237116487551777</v>
      </c>
      <c r="F7" s="0" t="n">
        <v>3160</v>
      </c>
      <c r="G7" s="0" t="s">
        <v>155</v>
      </c>
      <c r="H7" s="0" t="s">
        <v>13</v>
      </c>
      <c r="I7" s="0" t="s">
        <v>176</v>
      </c>
    </row>
    <row r="8" customFormat="false" ht="15" hidden="false" customHeight="false" outlineLevel="0" collapsed="false">
      <c r="A8" s="0" t="n">
        <v>2.14595197658528E-005</v>
      </c>
      <c r="B8" s="0" t="n">
        <v>0.015112351448344</v>
      </c>
      <c r="C8" s="0" t="n">
        <v>1.78356315272638E-005</v>
      </c>
      <c r="D8" s="0" t="n">
        <v>0.0106118421609053</v>
      </c>
      <c r="E8" s="0" t="n">
        <v>0.974236511239458</v>
      </c>
      <c r="F8" s="0" t="n">
        <v>3211</v>
      </c>
      <c r="G8" s="0" t="s">
        <v>155</v>
      </c>
      <c r="H8" s="0" t="s">
        <v>13</v>
      </c>
      <c r="I8" s="0" t="s">
        <v>177</v>
      </c>
    </row>
    <row r="9" customFormat="false" ht="15" hidden="false" customHeight="false" outlineLevel="0" collapsed="false">
      <c r="A9" s="0" t="n">
        <v>0.0004740016257732</v>
      </c>
      <c r="B9" s="0" t="n">
        <v>0.893621560256414</v>
      </c>
      <c r="C9" s="0" t="n">
        <v>5.11911603016959E-005</v>
      </c>
      <c r="D9" s="0" t="n">
        <v>0.0964904889101557</v>
      </c>
      <c r="E9" s="0" t="n">
        <v>0.0093627580473557</v>
      </c>
      <c r="F9" s="0" t="n">
        <v>2926</v>
      </c>
      <c r="G9" s="0" t="s">
        <v>155</v>
      </c>
      <c r="H9" s="0" t="s">
        <v>13</v>
      </c>
      <c r="I9" s="0" t="s">
        <v>178</v>
      </c>
    </row>
    <row r="10" customFormat="false" ht="15" hidden="false" customHeight="false" outlineLevel="0" collapsed="false">
      <c r="A10" s="0" t="n">
        <v>0.0003097138475954</v>
      </c>
      <c r="B10" s="0" t="n">
        <v>0.807322590377064</v>
      </c>
      <c r="C10" s="0" t="n">
        <v>7.1134628906383E-005</v>
      </c>
      <c r="D10" s="0" t="n">
        <v>0.185410914493497</v>
      </c>
      <c r="E10" s="0" t="n">
        <v>0.0068856466529372</v>
      </c>
      <c r="F10" s="0" t="n">
        <v>3931</v>
      </c>
      <c r="G10" s="0" t="s">
        <v>155</v>
      </c>
      <c r="H10" s="0" t="s">
        <v>13</v>
      </c>
      <c r="I10" s="0" t="s">
        <v>179</v>
      </c>
    </row>
    <row r="11" customFormat="false" ht="15" hidden="false" customHeight="false" outlineLevel="0" collapsed="false">
      <c r="A11" s="0" t="n">
        <v>0.0084183890370787</v>
      </c>
      <c r="B11" s="0" t="n">
        <v>0.856535101654034</v>
      </c>
      <c r="C11" s="0" t="n">
        <v>0.001129313149342</v>
      </c>
      <c r="D11" s="0" t="n">
        <v>0.114864680871867</v>
      </c>
      <c r="E11" s="0" t="n">
        <v>0.0190525152876785</v>
      </c>
      <c r="F11" s="0" t="n">
        <v>3242</v>
      </c>
      <c r="G11" s="0" t="s">
        <v>155</v>
      </c>
      <c r="H11" s="0" t="s">
        <v>13</v>
      </c>
      <c r="I11" s="0" t="s">
        <v>180</v>
      </c>
    </row>
    <row r="12" customFormat="false" ht="15" hidden="false" customHeight="false" outlineLevel="0" collapsed="false">
      <c r="A12" s="0" t="n">
        <v>0.0017604758611819</v>
      </c>
      <c r="B12" s="0" t="n">
        <v>0.897965233820474</v>
      </c>
      <c r="C12" s="0" t="n">
        <v>0.000185876557084</v>
      </c>
      <c r="D12" s="0" t="n">
        <v>0.0947994047395035</v>
      </c>
      <c r="E12" s="0" t="n">
        <v>0.0052890090217557</v>
      </c>
      <c r="F12" s="0" t="n">
        <v>1901</v>
      </c>
      <c r="G12" s="0" t="s">
        <v>155</v>
      </c>
      <c r="H12" s="0" t="s">
        <v>13</v>
      </c>
      <c r="I12" s="0" t="s">
        <v>181</v>
      </c>
    </row>
    <row r="13" customFormat="false" ht="15" hidden="false" customHeight="false" outlineLevel="0" collapsed="false">
      <c r="A13" s="0" t="n">
        <v>2.60669688395906E-007</v>
      </c>
      <c r="B13" s="0" t="n">
        <v>0.87853066126846</v>
      </c>
      <c r="C13" s="0" t="n">
        <v>3.270938448136E-008</v>
      </c>
      <c r="D13" s="0" t="n">
        <v>0.110217384387795</v>
      </c>
      <c r="E13" s="0" t="n">
        <v>0.0112516609646728</v>
      </c>
      <c r="F13" s="0" t="n">
        <v>2910</v>
      </c>
      <c r="G13" s="0" t="s">
        <v>155</v>
      </c>
      <c r="H13" s="0" t="s">
        <v>13</v>
      </c>
      <c r="I13" s="0" t="s">
        <v>182</v>
      </c>
    </row>
    <row r="14" customFormat="false" ht="15" hidden="false" customHeight="false" outlineLevel="0" collapsed="false">
      <c r="A14" s="0" t="n">
        <v>1.10270242976731E-006</v>
      </c>
      <c r="B14" s="0" t="n">
        <v>0.844294688152496</v>
      </c>
      <c r="C14" s="0" t="n">
        <v>1.97666415512869E-007</v>
      </c>
      <c r="D14" s="0" t="n">
        <v>0.151336451158559</v>
      </c>
      <c r="E14" s="0" t="n">
        <v>0.0043675603200988</v>
      </c>
      <c r="F14" s="0" t="n">
        <v>3951</v>
      </c>
      <c r="G14" s="0" t="s">
        <v>155</v>
      </c>
      <c r="H14" s="0" t="s">
        <v>13</v>
      </c>
      <c r="I14" s="0" t="s">
        <v>183</v>
      </c>
    </row>
    <row r="15" customFormat="false" ht="15" hidden="false" customHeight="false" outlineLevel="0" collapsed="false">
      <c r="A15" s="0" t="n">
        <v>3.68474483391224E-013</v>
      </c>
      <c r="B15" s="0" t="n">
        <v>5.00000896582048E-014</v>
      </c>
      <c r="C15" s="0" t="n">
        <v>0.852694238679878</v>
      </c>
      <c r="D15" s="0" t="n">
        <v>0.115642890854158</v>
      </c>
      <c r="E15" s="0" t="n">
        <v>0.031662870465545</v>
      </c>
      <c r="F15" s="0" t="n">
        <v>6105</v>
      </c>
      <c r="G15" s="0" t="s">
        <v>155</v>
      </c>
      <c r="H15" s="0" t="s">
        <v>13</v>
      </c>
      <c r="I15" s="0" t="s">
        <v>184</v>
      </c>
    </row>
    <row r="16" customFormat="false" ht="15" hidden="false" customHeight="false" outlineLevel="0" collapsed="false">
      <c r="A16" s="0" t="n">
        <v>0.0134967544131907</v>
      </c>
      <c r="B16" s="0" t="n">
        <v>0.0049473982093162</v>
      </c>
      <c r="C16" s="0" t="n">
        <v>0.697017769741521</v>
      </c>
      <c r="D16" s="0" t="n">
        <v>0.255442083137189</v>
      </c>
      <c r="E16" s="0" t="n">
        <v>0.0290959944987829</v>
      </c>
      <c r="F16" s="0" t="n">
        <v>3219</v>
      </c>
      <c r="G16" s="0" t="s">
        <v>155</v>
      </c>
      <c r="H16" s="0" t="s">
        <v>13</v>
      </c>
      <c r="I16" s="0" t="s">
        <v>185</v>
      </c>
    </row>
    <row r="17" customFormat="false" ht="15" hidden="false" customHeight="false" outlineLevel="0" collapsed="false">
      <c r="A17" s="0" t="n">
        <v>0.0007030546055655</v>
      </c>
      <c r="B17" s="0" t="n">
        <v>0.740890398138661</v>
      </c>
      <c r="C17" s="0" t="n">
        <v>0.0002389362864321</v>
      </c>
      <c r="D17" s="0" t="n">
        <v>0.251782180745169</v>
      </c>
      <c r="E17" s="0" t="n">
        <v>0.0063854302241718</v>
      </c>
      <c r="F17" s="0" t="n">
        <v>5108</v>
      </c>
      <c r="G17" s="0" t="s">
        <v>155</v>
      </c>
      <c r="H17" s="0" t="s">
        <v>13</v>
      </c>
      <c r="I17" s="0" t="s">
        <v>186</v>
      </c>
    </row>
    <row r="18" customFormat="false" ht="15" hidden="false" customHeight="false" outlineLevel="0" collapsed="false">
      <c r="A18" s="0" t="n">
        <v>6.00500033450712E-005</v>
      </c>
      <c r="B18" s="0" t="n">
        <v>0.0001343158415263</v>
      </c>
      <c r="C18" s="0" t="n">
        <v>0.0032787419523127</v>
      </c>
      <c r="D18" s="0" t="n">
        <v>0.0053513201288056</v>
      </c>
      <c r="E18" s="0" t="n">
        <v>0.99117557207401</v>
      </c>
      <c r="F18" s="0" t="n">
        <v>4272</v>
      </c>
      <c r="G18" s="0" t="s">
        <v>155</v>
      </c>
      <c r="H18" s="0" t="s">
        <v>13</v>
      </c>
      <c r="I18" s="0" t="s">
        <v>187</v>
      </c>
    </row>
    <row r="19" customFormat="false" ht="15" hidden="false" customHeight="false" outlineLevel="0" collapsed="false">
      <c r="A19" s="0" t="n">
        <v>2.47462776732257E-010</v>
      </c>
      <c r="B19" s="0" t="n">
        <v>0.64436426916585</v>
      </c>
      <c r="C19" s="0" t="n">
        <v>1.31117860968115E-010</v>
      </c>
      <c r="D19" s="0" t="n">
        <v>0.341387152393145</v>
      </c>
      <c r="E19" s="0" t="n">
        <v>0.0142485780624247</v>
      </c>
      <c r="F19" s="0" t="n">
        <v>3502</v>
      </c>
      <c r="G19" s="0" t="s">
        <v>155</v>
      </c>
      <c r="H19" s="0" t="s">
        <v>13</v>
      </c>
      <c r="I19" s="0" t="s">
        <v>188</v>
      </c>
    </row>
    <row r="20" customFormat="false" ht="15" hidden="false" customHeight="false" outlineLevel="0" collapsed="false">
      <c r="A20" s="0" t="n">
        <v>0.0014873651992694</v>
      </c>
      <c r="B20" s="0" t="n">
        <v>0.821376400707226</v>
      </c>
      <c r="C20" s="0" t="n">
        <v>0.0003015541100539</v>
      </c>
      <c r="D20" s="0" t="n">
        <v>0.166508340776751</v>
      </c>
      <c r="E20" s="0" t="n">
        <v>0.0103263392066998</v>
      </c>
      <c r="F20" s="0" t="n">
        <v>4033</v>
      </c>
      <c r="G20" s="0" t="s">
        <v>155</v>
      </c>
      <c r="H20" s="0" t="s">
        <v>13</v>
      </c>
      <c r="I20" s="0" t="s">
        <v>189</v>
      </c>
    </row>
    <row r="21" customFormat="false" ht="15" hidden="false" customHeight="false" outlineLevel="0" collapsed="false">
      <c r="A21" s="0" t="n">
        <v>7.6124284373284E-005</v>
      </c>
      <c r="B21" s="0" t="n">
        <v>1.63694084514944E-005</v>
      </c>
      <c r="C21" s="0" t="n">
        <v>0.819748452882804</v>
      </c>
      <c r="D21" s="0" t="n">
        <v>0.176267071862365</v>
      </c>
      <c r="E21" s="0" t="n">
        <v>0.0038919815620052</v>
      </c>
      <c r="F21" s="0" t="n">
        <v>4779</v>
      </c>
      <c r="G21" s="0" t="s">
        <v>155</v>
      </c>
      <c r="H21" s="0" t="s">
        <v>13</v>
      </c>
      <c r="I21" s="0" t="s">
        <v>190</v>
      </c>
    </row>
    <row r="22" customFormat="false" ht="15" hidden="false" customHeight="false" outlineLevel="0" collapsed="false">
      <c r="A22" s="0" t="n">
        <v>0.0001581592606409</v>
      </c>
      <c r="B22" s="0" t="n">
        <v>1.96911906826504E-005</v>
      </c>
      <c r="C22" s="0" t="n">
        <v>0.885509893863933</v>
      </c>
      <c r="D22" s="0" t="n">
        <v>0.110239867897132</v>
      </c>
      <c r="E22" s="0" t="n">
        <v>0.0040723877876124</v>
      </c>
      <c r="F22" s="0" t="n">
        <v>3909</v>
      </c>
      <c r="G22" s="0" t="s">
        <v>155</v>
      </c>
      <c r="H22" s="0" t="s">
        <v>13</v>
      </c>
      <c r="I22" s="0" t="s">
        <v>191</v>
      </c>
    </row>
    <row r="23" customFormat="false" ht="15" hidden="false" customHeight="false" outlineLevel="0" collapsed="false">
      <c r="A23" s="0" t="n">
        <v>3.42036966773292E-109</v>
      </c>
      <c r="B23" s="0" t="n">
        <v>1.00523952348207E-109</v>
      </c>
      <c r="C23" s="0" t="n">
        <v>0.746635908215315</v>
      </c>
      <c r="D23" s="0" t="n">
        <v>0.219366744090155</v>
      </c>
      <c r="E23" s="0" t="n">
        <v>0.0339973476945204</v>
      </c>
      <c r="F23" s="0" t="n">
        <v>3949</v>
      </c>
      <c r="G23" s="0" t="s">
        <v>155</v>
      </c>
      <c r="H23" s="0" t="s">
        <v>13</v>
      </c>
      <c r="I23" s="0" t="s">
        <v>192</v>
      </c>
    </row>
    <row r="24" customFormat="false" ht="15" hidden="false" customHeight="false" outlineLevel="0" collapsed="false">
      <c r="A24" s="0" t="n">
        <v>2.10874238485592E-016</v>
      </c>
      <c r="B24" s="0" t="n">
        <v>0.696620917471789</v>
      </c>
      <c r="C24" s="0" t="n">
        <v>5.70107039839195E-017</v>
      </c>
      <c r="D24" s="0" t="n">
        <v>0.188103734231739</v>
      </c>
      <c r="E24" s="0" t="n">
        <v>0.115275348296473</v>
      </c>
      <c r="F24" s="0" t="n">
        <v>3390</v>
      </c>
      <c r="G24" s="0" t="s">
        <v>156</v>
      </c>
      <c r="H24" s="0" t="s">
        <v>13</v>
      </c>
      <c r="I24" s="0" t="s">
        <v>193</v>
      </c>
    </row>
    <row r="25" customFormat="false" ht="15" hidden="false" customHeight="false" outlineLevel="0" collapsed="false">
      <c r="A25" s="0" t="n">
        <v>4.14467784384633E-109</v>
      </c>
      <c r="B25" s="0" t="n">
        <v>4.22592266678054E-110</v>
      </c>
      <c r="C25" s="0" t="n">
        <v>0.904745862821087</v>
      </c>
      <c r="D25" s="0" t="n">
        <v>0.0922420634825791</v>
      </c>
      <c r="E25" s="0" t="n">
        <v>0.0030120736963238</v>
      </c>
      <c r="F25" s="0" t="n">
        <v>3949</v>
      </c>
      <c r="G25" s="0" t="s">
        <v>156</v>
      </c>
      <c r="H25" s="0" t="s">
        <v>13</v>
      </c>
      <c r="I25" s="0" t="s">
        <v>192</v>
      </c>
    </row>
    <row r="26" customFormat="false" ht="15" hidden="false" customHeight="false" outlineLevel="0" collapsed="false">
      <c r="A26" s="0" t="n">
        <v>4.34117729343974E-007</v>
      </c>
      <c r="B26" s="0" t="n">
        <v>0.865854425114638</v>
      </c>
      <c r="C26" s="0" t="n">
        <v>6.3411992726672E-008</v>
      </c>
      <c r="D26" s="0" t="n">
        <v>0.126460817077064</v>
      </c>
      <c r="E26" s="0" t="n">
        <v>0.0076842602785758</v>
      </c>
      <c r="F26" s="0" t="n">
        <v>2929</v>
      </c>
      <c r="G26" s="0" t="s">
        <v>156</v>
      </c>
      <c r="H26" s="0" t="s">
        <v>13</v>
      </c>
      <c r="I26" s="0" t="s">
        <v>194</v>
      </c>
    </row>
    <row r="27" customFormat="false" ht="15" hidden="false" customHeight="false" outlineLevel="0" collapsed="false">
      <c r="A27" s="0" t="n">
        <v>5.99798581933724E-012</v>
      </c>
      <c r="B27" s="0" t="n">
        <v>0.0521793333025705</v>
      </c>
      <c r="C27" s="0" t="n">
        <v>3.16335738449872E-011</v>
      </c>
      <c r="D27" s="0" t="n">
        <v>0.273847568251976</v>
      </c>
      <c r="E27" s="0" t="n">
        <v>0.673973098407823</v>
      </c>
      <c r="F27" s="0" t="n">
        <v>3269</v>
      </c>
      <c r="G27" s="0" t="s">
        <v>156</v>
      </c>
      <c r="H27" s="0" t="s">
        <v>13</v>
      </c>
      <c r="I27" s="0" t="s">
        <v>195</v>
      </c>
    </row>
    <row r="28" customFormat="false" ht="15" hidden="false" customHeight="false" outlineLevel="0" collapsed="false">
      <c r="A28" s="0" t="n">
        <v>0.0098061179974106</v>
      </c>
      <c r="B28" s="0" t="n">
        <v>0.820623911973573</v>
      </c>
      <c r="C28" s="0" t="n">
        <v>0.0019141506440887</v>
      </c>
      <c r="D28" s="0" t="n">
        <v>0.160170516666244</v>
      </c>
      <c r="E28" s="0" t="n">
        <v>0.0074853027186844</v>
      </c>
      <c r="F28" s="0" t="n">
        <v>3777</v>
      </c>
      <c r="G28" s="0" t="s">
        <v>156</v>
      </c>
      <c r="H28" s="0" t="s">
        <v>13</v>
      </c>
      <c r="I28" s="0" t="s">
        <v>196</v>
      </c>
    </row>
    <row r="29" customFormat="false" ht="15" hidden="false" customHeight="false" outlineLevel="0" collapsed="false">
      <c r="A29" s="0" t="n">
        <v>2.45674060996563E-013</v>
      </c>
      <c r="B29" s="0" t="n">
        <v>0.767295435919901</v>
      </c>
      <c r="C29" s="0" t="n">
        <v>3.63562937141877E-014</v>
      </c>
      <c r="D29" s="0" t="n">
        <v>0.11331010640025</v>
      </c>
      <c r="E29" s="0" t="n">
        <v>0.119394457679566</v>
      </c>
      <c r="F29" s="0" t="n">
        <v>2153</v>
      </c>
      <c r="G29" s="0" t="s">
        <v>156</v>
      </c>
      <c r="H29" s="0" t="s">
        <v>13</v>
      </c>
      <c r="I29" s="0" t="s">
        <v>197</v>
      </c>
    </row>
    <row r="30" customFormat="false" ht="15" hidden="false" customHeight="false" outlineLevel="0" collapsed="false">
      <c r="A30" s="0" t="n">
        <v>4.63803693218239E-025</v>
      </c>
      <c r="B30" s="0" t="n">
        <v>0.880966720549141</v>
      </c>
      <c r="C30" s="0" t="n">
        <v>5.9722921842429E-026</v>
      </c>
      <c r="D30" s="0" t="n">
        <v>0.113428824808559</v>
      </c>
      <c r="E30" s="0" t="n">
        <v>0.0056044546422976</v>
      </c>
      <c r="F30" s="0" t="n">
        <v>3322</v>
      </c>
      <c r="G30" s="0" t="s">
        <v>156</v>
      </c>
      <c r="H30" s="0" t="s">
        <v>13</v>
      </c>
      <c r="I30" s="0" t="s">
        <v>198</v>
      </c>
    </row>
    <row r="31" customFormat="false" ht="15" hidden="false" customHeight="false" outlineLevel="0" collapsed="false">
      <c r="A31" s="0" t="n">
        <v>1.73794467648557E-014</v>
      </c>
      <c r="B31" s="0" t="n">
        <v>0.0672717027568216</v>
      </c>
      <c r="C31" s="0" t="n">
        <v>2.40720011609374E-013</v>
      </c>
      <c r="D31" s="0" t="n">
        <v>0.931767961748447</v>
      </c>
      <c r="E31" s="0" t="n">
        <v>0.0009603354944726</v>
      </c>
      <c r="F31" s="0" t="n">
        <v>2619</v>
      </c>
      <c r="G31" s="0" t="s">
        <v>156</v>
      </c>
      <c r="H31" s="0" t="s">
        <v>13</v>
      </c>
      <c r="I31" s="0" t="s">
        <v>199</v>
      </c>
    </row>
    <row r="32" customFormat="false" ht="15" hidden="false" customHeight="false" outlineLevel="0" collapsed="false">
      <c r="A32" s="0" t="n">
        <v>0.0001617233306031</v>
      </c>
      <c r="B32" s="0" t="n">
        <v>0.856171144324641</v>
      </c>
      <c r="C32" s="0" t="n">
        <v>2.59319975170788E-005</v>
      </c>
      <c r="D32" s="0" t="n">
        <v>0.137272513344094</v>
      </c>
      <c r="E32" s="0" t="n">
        <v>0.0063686870031444</v>
      </c>
      <c r="F32" s="0" t="n">
        <v>3464</v>
      </c>
      <c r="G32" s="0" t="s">
        <v>156</v>
      </c>
      <c r="H32" s="0" t="s">
        <v>13</v>
      </c>
      <c r="I32" s="0" t="s">
        <v>200</v>
      </c>
    </row>
    <row r="33" customFormat="false" ht="15" hidden="false" customHeight="false" outlineLevel="0" collapsed="false">
      <c r="A33" s="0" t="n">
        <v>0.0002986395827688</v>
      </c>
      <c r="B33" s="0" t="n">
        <v>0.881104643288088</v>
      </c>
      <c r="C33" s="0" t="n">
        <v>3.78647476354436E-005</v>
      </c>
      <c r="D33" s="0" t="n">
        <v>0.111702237647504</v>
      </c>
      <c r="E33" s="0" t="n">
        <v>0.0068566147340039</v>
      </c>
      <c r="F33" s="0" t="n">
        <v>2484</v>
      </c>
      <c r="G33" s="0" t="s">
        <v>156</v>
      </c>
      <c r="H33" s="0" t="s">
        <v>13</v>
      </c>
      <c r="I33" s="0" t="s">
        <v>201</v>
      </c>
    </row>
    <row r="34" customFormat="false" ht="15" hidden="false" customHeight="false" outlineLevel="0" collapsed="false">
      <c r="A34" s="0" t="n">
        <v>0.0001515387837116</v>
      </c>
      <c r="B34" s="0" t="n">
        <v>2.51515056129154E-005</v>
      </c>
      <c r="C34" s="0" t="n">
        <v>0.848442840065099</v>
      </c>
      <c r="D34" s="0" t="n">
        <v>0.140798329789456</v>
      </c>
      <c r="E34" s="0" t="n">
        <v>0.0105821398561191</v>
      </c>
      <c r="F34" s="0" t="n">
        <v>3909</v>
      </c>
      <c r="G34" s="0" t="s">
        <v>156</v>
      </c>
      <c r="H34" s="0" t="s">
        <v>13</v>
      </c>
      <c r="I34" s="0" t="s">
        <v>191</v>
      </c>
    </row>
    <row r="35" customFormat="false" ht="15" hidden="false" customHeight="false" outlineLevel="0" collapsed="false">
      <c r="A35" s="0" t="n">
        <v>0.0003646707903861</v>
      </c>
      <c r="B35" s="0" t="n">
        <v>0.901452722775628</v>
      </c>
      <c r="C35" s="0" t="n">
        <v>3.78761427075907E-005</v>
      </c>
      <c r="D35" s="0" t="n">
        <v>0.0936193749052303</v>
      </c>
      <c r="E35" s="0" t="n">
        <v>0.0045253553860478</v>
      </c>
      <c r="F35" s="0" t="n">
        <v>2435</v>
      </c>
      <c r="G35" s="0" t="s">
        <v>156</v>
      </c>
      <c r="H35" s="0" t="s">
        <v>13</v>
      </c>
      <c r="I35" s="0" t="s">
        <v>202</v>
      </c>
    </row>
    <row r="36" customFormat="false" ht="15" hidden="false" customHeight="false" outlineLevel="0" collapsed="false">
      <c r="A36" s="0" t="n">
        <v>1.36345382658596E-046</v>
      </c>
      <c r="B36" s="0" t="n">
        <v>0.854874721133923</v>
      </c>
      <c r="C36" s="0" t="n">
        <v>2.24385359120355E-047</v>
      </c>
      <c r="D36" s="0" t="n">
        <v>0.140678945501478</v>
      </c>
      <c r="E36" s="0" t="n">
        <v>0.0044463333646026</v>
      </c>
      <c r="F36" s="0" t="n">
        <v>3799</v>
      </c>
      <c r="G36" s="0" t="s">
        <v>156</v>
      </c>
      <c r="H36" s="0" t="s">
        <v>13</v>
      </c>
      <c r="I36" s="0" t="s">
        <v>203</v>
      </c>
    </row>
    <row r="37" customFormat="false" ht="15" hidden="false" customHeight="false" outlineLevel="0" collapsed="false">
      <c r="A37" s="0" t="n">
        <v>7.98027074202147E-005</v>
      </c>
      <c r="B37" s="0" t="n">
        <v>1.23959770676561E-005</v>
      </c>
      <c r="C37" s="0" t="n">
        <v>0.859359749417083</v>
      </c>
      <c r="D37" s="0" t="n">
        <v>0.133472595226078</v>
      </c>
      <c r="E37" s="0" t="n">
        <v>0.0070754566723512</v>
      </c>
      <c r="F37" s="0" t="n">
        <v>4779</v>
      </c>
      <c r="G37" s="0" t="s">
        <v>156</v>
      </c>
      <c r="H37" s="0" t="s">
        <v>13</v>
      </c>
      <c r="I37" s="0" t="s">
        <v>190</v>
      </c>
    </row>
    <row r="38" customFormat="false" ht="15" hidden="false" customHeight="false" outlineLevel="0" collapsed="false">
      <c r="A38" s="0" t="n">
        <v>1.8176151233899E-006</v>
      </c>
      <c r="B38" s="0" t="n">
        <v>0.835193023625532</v>
      </c>
      <c r="C38" s="0" t="n">
        <v>3.49416320550357E-007</v>
      </c>
      <c r="D38" s="0" t="n">
        <v>0.160548069434331</v>
      </c>
      <c r="E38" s="0" t="n">
        <v>0.0042567399086931</v>
      </c>
      <c r="F38" s="0" t="n">
        <v>3455</v>
      </c>
      <c r="G38" s="0" t="s">
        <v>156</v>
      </c>
      <c r="H38" s="0" t="s">
        <v>13</v>
      </c>
      <c r="I38" s="0" t="s">
        <v>204</v>
      </c>
    </row>
    <row r="39" customFormat="false" ht="15" hidden="false" customHeight="false" outlineLevel="0" collapsed="false">
      <c r="A39" s="0" t="n">
        <v>0.0024344798375128</v>
      </c>
      <c r="B39" s="0" t="n">
        <v>0.728033892096305</v>
      </c>
      <c r="C39" s="0" t="n">
        <v>0.0008586048179697</v>
      </c>
      <c r="D39" s="0" t="n">
        <v>0.256742861572278</v>
      </c>
      <c r="E39" s="0" t="n">
        <v>0.0119301616759344</v>
      </c>
      <c r="F39" s="0" t="n">
        <v>3369</v>
      </c>
      <c r="G39" s="0" t="s">
        <v>156</v>
      </c>
      <c r="H39" s="0" t="s">
        <v>13</v>
      </c>
      <c r="I39" s="0" t="s">
        <v>205</v>
      </c>
    </row>
    <row r="40" customFormat="false" ht="15" hidden="false" customHeight="false" outlineLevel="0" collapsed="false">
      <c r="A40" s="0" t="n">
        <v>3.75404336724406E-108</v>
      </c>
      <c r="B40" s="0" t="n">
        <v>2.53199149479943E-109</v>
      </c>
      <c r="C40" s="0" t="n">
        <v>0.933084437761306</v>
      </c>
      <c r="D40" s="0" t="n">
        <v>0.0629258129278523</v>
      </c>
      <c r="E40" s="0" t="n">
        <v>0.0039897493108521</v>
      </c>
      <c r="F40" s="0" t="n">
        <v>2166</v>
      </c>
      <c r="G40" s="0" t="s">
        <v>156</v>
      </c>
      <c r="H40" s="0" t="s">
        <v>13</v>
      </c>
      <c r="I40" s="0" t="s">
        <v>175</v>
      </c>
    </row>
    <row r="41" customFormat="false" ht="15" hidden="false" customHeight="false" outlineLevel="0" collapsed="false">
      <c r="A41" s="0" t="n">
        <v>0.0047679096806079</v>
      </c>
      <c r="B41" s="0" t="n">
        <v>0.812692330543014</v>
      </c>
      <c r="C41" s="0" t="n">
        <v>0.0010380646756871</v>
      </c>
      <c r="D41" s="0" t="n">
        <v>0.1769294422233</v>
      </c>
      <c r="E41" s="0" t="n">
        <v>0.0045722528773913</v>
      </c>
      <c r="F41" s="0" t="n">
        <v>3090</v>
      </c>
      <c r="G41" s="0" t="s">
        <v>156</v>
      </c>
      <c r="H41" s="0" t="s">
        <v>13</v>
      </c>
      <c r="I41" s="0" t="s">
        <v>206</v>
      </c>
    </row>
    <row r="42" customFormat="false" ht="15" hidden="false" customHeight="false" outlineLevel="0" collapsed="false">
      <c r="A42" s="0" t="n">
        <v>0.0039007509732755</v>
      </c>
      <c r="B42" s="0" t="n">
        <v>0.849357192757167</v>
      </c>
      <c r="C42" s="0" t="n">
        <v>0.0006284245222697</v>
      </c>
      <c r="D42" s="0" t="n">
        <v>0.136815796412202</v>
      </c>
      <c r="E42" s="0" t="n">
        <v>0.0092978353350855</v>
      </c>
      <c r="F42" s="0" t="n">
        <v>2669</v>
      </c>
      <c r="G42" s="0" t="s">
        <v>156</v>
      </c>
      <c r="H42" s="0" t="s">
        <v>13</v>
      </c>
      <c r="I42" s="0" t="s">
        <v>207</v>
      </c>
    </row>
    <row r="43" customFormat="false" ht="15" hidden="false" customHeight="false" outlineLevel="0" collapsed="false">
      <c r="A43" s="0" t="n">
        <v>0.0078083252570428</v>
      </c>
      <c r="B43" s="0" t="n">
        <v>0.0009781175983985</v>
      </c>
      <c r="C43" s="0" t="n">
        <v>0.877749867499334</v>
      </c>
      <c r="D43" s="0" t="n">
        <v>0.109945169627938</v>
      </c>
      <c r="E43" s="0" t="n">
        <v>0.0035185200172869</v>
      </c>
      <c r="F43" s="0" t="n">
        <v>3160</v>
      </c>
      <c r="G43" s="0" t="s">
        <v>156</v>
      </c>
      <c r="H43" s="0" t="s">
        <v>13</v>
      </c>
      <c r="I43" s="0" t="s">
        <v>176</v>
      </c>
    </row>
    <row r="44" customFormat="false" ht="15" hidden="false" customHeight="false" outlineLevel="0" collapsed="false">
      <c r="A44" s="0" t="n">
        <v>1.98567926862465E-006</v>
      </c>
      <c r="B44" s="0" t="n">
        <v>0.842260468958643</v>
      </c>
      <c r="C44" s="0" t="n">
        <v>3.61153536777347E-007</v>
      </c>
      <c r="D44" s="0" t="n">
        <v>0.153180453483493</v>
      </c>
      <c r="E44" s="0" t="n">
        <v>0.0045567307250592</v>
      </c>
      <c r="F44" s="0" t="n">
        <v>4175</v>
      </c>
      <c r="G44" s="0" t="s">
        <v>156</v>
      </c>
      <c r="H44" s="0" t="s">
        <v>13</v>
      </c>
      <c r="I44" s="0" t="s">
        <v>208</v>
      </c>
    </row>
    <row r="45" customFormat="false" ht="15" hidden="false" customHeight="false" outlineLevel="0" collapsed="false">
      <c r="A45" s="0" t="n">
        <v>0.0008007357433561</v>
      </c>
      <c r="B45" s="0" t="n">
        <v>0.784448062013071</v>
      </c>
      <c r="C45" s="0" t="n">
        <v>0.0002146205661757</v>
      </c>
      <c r="D45" s="0" t="n">
        <v>0.210246411523912</v>
      </c>
      <c r="E45" s="0" t="n">
        <v>0.0042901701534849</v>
      </c>
      <c r="F45" s="0" t="n">
        <v>4013</v>
      </c>
      <c r="G45" s="0" t="s">
        <v>156</v>
      </c>
      <c r="H45" s="0" t="s">
        <v>13</v>
      </c>
      <c r="I45" s="0" t="s">
        <v>209</v>
      </c>
    </row>
    <row r="46" customFormat="false" ht="15" hidden="false" customHeight="false" outlineLevel="0" collapsed="false">
      <c r="A46" s="0" t="n">
        <v>1.45434257062617E-008</v>
      </c>
      <c r="B46" s="0" t="n">
        <v>0.865319903342952</v>
      </c>
      <c r="C46" s="0" t="n">
        <v>2.13469871665512E-009</v>
      </c>
      <c r="D46" s="0" t="n">
        <v>0.126997163709729</v>
      </c>
      <c r="E46" s="0" t="n">
        <v>0.0076829162691951</v>
      </c>
      <c r="F46" s="0" t="n">
        <v>3698</v>
      </c>
      <c r="G46" s="0" t="s">
        <v>156</v>
      </c>
      <c r="H46" s="0" t="s">
        <v>13</v>
      </c>
      <c r="I46" s="0" t="s">
        <v>210</v>
      </c>
    </row>
    <row r="47" customFormat="false" ht="15" hidden="false" customHeight="false" outlineLevel="0" collapsed="false">
      <c r="A47" s="0" t="n">
        <v>2.80318704272438E-023</v>
      </c>
      <c r="B47" s="0" t="n">
        <v>0.879102354959176</v>
      </c>
      <c r="C47" s="0" t="n">
        <v>3.50668359894869E-024</v>
      </c>
      <c r="D47" s="0" t="n">
        <v>0.109950568009447</v>
      </c>
      <c r="E47" s="0" t="n">
        <v>0.0109470770313772</v>
      </c>
      <c r="F47" s="0" t="n">
        <v>3218</v>
      </c>
      <c r="G47" s="0" t="s">
        <v>156</v>
      </c>
      <c r="H47" s="0" t="s">
        <v>13</v>
      </c>
      <c r="I47" s="0" t="s">
        <v>211</v>
      </c>
    </row>
    <row r="48" customFormat="false" ht="15" hidden="false" customHeight="false" outlineLevel="0" collapsed="false">
      <c r="A48" s="0" t="n">
        <v>5.07600026940687E-006</v>
      </c>
      <c r="B48" s="0" t="n">
        <v>0.858849446253706</v>
      </c>
      <c r="C48" s="0" t="n">
        <v>8.02809771555896E-007</v>
      </c>
      <c r="D48" s="0" t="n">
        <v>0.135823220596693</v>
      </c>
      <c r="E48" s="0" t="n">
        <v>0.0053214543395595</v>
      </c>
      <c r="F48" s="0" t="n">
        <v>3572</v>
      </c>
      <c r="G48" s="0" t="s">
        <v>156</v>
      </c>
      <c r="H48" s="0" t="s">
        <v>13</v>
      </c>
      <c r="I48" s="0" t="s">
        <v>212</v>
      </c>
    </row>
    <row r="49" customFormat="false" ht="15" hidden="false" customHeight="false" outlineLevel="0" collapsed="false">
      <c r="A49" s="0" t="n">
        <v>7.36105720404827E-007</v>
      </c>
      <c r="B49" s="0" t="n">
        <v>0.829198975272807</v>
      </c>
      <c r="C49" s="0" t="n">
        <v>1.39724827532804E-007</v>
      </c>
      <c r="D49" s="0" t="n">
        <v>0.157368576938594</v>
      </c>
      <c r="E49" s="0" t="n">
        <v>0.0134315719580506</v>
      </c>
      <c r="F49" s="0" t="n">
        <v>3786</v>
      </c>
      <c r="G49" s="0" t="s">
        <v>156</v>
      </c>
      <c r="H49" s="0" t="s">
        <v>13</v>
      </c>
      <c r="I49" s="0" t="s">
        <v>213</v>
      </c>
    </row>
    <row r="50" customFormat="false" ht="15" hidden="false" customHeight="false" outlineLevel="0" collapsed="false">
      <c r="A50" s="0" t="n">
        <v>3.86056548698033E-006</v>
      </c>
      <c r="B50" s="0" t="n">
        <v>0.754011279282105</v>
      </c>
      <c r="C50" s="0" t="n">
        <v>1.23660792737866E-006</v>
      </c>
      <c r="D50" s="0" t="n">
        <v>0.241514311905104</v>
      </c>
      <c r="E50" s="0" t="n">
        <v>0.004469311639377</v>
      </c>
      <c r="F50" s="0" t="n">
        <v>4428</v>
      </c>
      <c r="G50" s="0" t="s">
        <v>156</v>
      </c>
      <c r="H50" s="0" t="s">
        <v>13</v>
      </c>
      <c r="I50" s="0" t="s">
        <v>214</v>
      </c>
    </row>
    <row r="51" customFormat="false" ht="15" hidden="false" customHeight="false" outlineLevel="0" collapsed="false">
      <c r="A51" s="0" t="n">
        <v>8.36883182762992E-014</v>
      </c>
      <c r="B51" s="0" t="n">
        <v>0.786205971615804</v>
      </c>
      <c r="C51" s="0" t="n">
        <v>2.22907355221987E-014</v>
      </c>
      <c r="D51" s="0" t="n">
        <v>0.209400479813943</v>
      </c>
      <c r="E51" s="0" t="n">
        <v>0.0043935485701458</v>
      </c>
      <c r="F51" s="0" t="n">
        <v>5172</v>
      </c>
      <c r="G51" s="0" t="s">
        <v>156</v>
      </c>
      <c r="H51" s="0" t="s">
        <v>13</v>
      </c>
      <c r="I51" s="0" t="s">
        <v>215</v>
      </c>
    </row>
    <row r="52" customFormat="false" ht="15" hidden="false" customHeight="false" outlineLevel="0" collapsed="false">
      <c r="A52" s="0" t="n">
        <v>7.06334549916068E-015</v>
      </c>
      <c r="B52" s="0" t="n">
        <v>0.114568928909199</v>
      </c>
      <c r="C52" s="0" t="n">
        <v>5.38180610372849E-015</v>
      </c>
      <c r="D52" s="0" t="n">
        <v>0.0856945381040067</v>
      </c>
      <c r="E52" s="0" t="n">
        <v>0.79973653298678</v>
      </c>
      <c r="F52" s="0" t="n">
        <v>2172</v>
      </c>
      <c r="G52" s="0" t="s">
        <v>156</v>
      </c>
      <c r="H52" s="0" t="s">
        <v>13</v>
      </c>
      <c r="I52" s="0" t="s">
        <v>216</v>
      </c>
    </row>
    <row r="53" customFormat="false" ht="15" hidden="false" customHeight="false" outlineLevel="0" collapsed="false">
      <c r="A53" s="0" t="n">
        <v>2.5243641491858E-013</v>
      </c>
      <c r="B53" s="0" t="n">
        <v>1.76134900412687E-013</v>
      </c>
      <c r="C53" s="0" t="n">
        <v>0.584168202511693</v>
      </c>
      <c r="D53" s="0" t="n">
        <v>0.407580825910046</v>
      </c>
      <c r="E53" s="0" t="n">
        <v>0.0082509715778342</v>
      </c>
      <c r="F53" s="0" t="n">
        <v>6105</v>
      </c>
      <c r="G53" s="0" t="s">
        <v>156</v>
      </c>
      <c r="H53" s="0" t="s">
        <v>13</v>
      </c>
      <c r="I53" s="0" t="s">
        <v>184</v>
      </c>
    </row>
    <row r="54" customFormat="false" ht="15" hidden="false" customHeight="false" outlineLevel="0" collapsed="false">
      <c r="A54" s="0" t="n">
        <v>5.18337443646735E-005</v>
      </c>
      <c r="B54" s="0" t="n">
        <v>0.555376912814233</v>
      </c>
      <c r="C54" s="0" t="n">
        <v>4.08535995246758E-005</v>
      </c>
      <c r="D54" s="0" t="n">
        <v>0.437715619202523</v>
      </c>
      <c r="E54" s="0" t="n">
        <v>0.0068147806393549</v>
      </c>
      <c r="F54" s="0" t="n">
        <v>3203</v>
      </c>
      <c r="G54" s="0" t="s">
        <v>156</v>
      </c>
      <c r="H54" s="0" t="s">
        <v>13</v>
      </c>
      <c r="I54" s="0" t="s">
        <v>217</v>
      </c>
    </row>
    <row r="55" customFormat="false" ht="15" hidden="false" customHeight="false" outlineLevel="0" collapsed="false">
      <c r="A55" s="0" t="n">
        <v>0.0172761795184695</v>
      </c>
      <c r="B55" s="0" t="n">
        <v>0.0016696882819947</v>
      </c>
      <c r="C55" s="0" t="n">
        <v>0.892199987416899</v>
      </c>
      <c r="D55" s="0" t="n">
        <v>0.0862230536669578</v>
      </c>
      <c r="E55" s="0" t="n">
        <v>0.0026310911156788</v>
      </c>
      <c r="F55" s="0" t="n">
        <v>3219</v>
      </c>
      <c r="G55" s="0" t="s">
        <v>156</v>
      </c>
      <c r="H55" s="0" t="s">
        <v>13</v>
      </c>
      <c r="I55" s="0" t="s">
        <v>185</v>
      </c>
    </row>
    <row r="56" customFormat="false" ht="15" hidden="false" customHeight="false" outlineLevel="0" collapsed="false">
      <c r="A56" s="0" t="n">
        <v>7.81036761860099E-019</v>
      </c>
      <c r="B56" s="0" t="n">
        <v>0.857243064831155</v>
      </c>
      <c r="C56" s="0" t="n">
        <v>1.25352687611079E-019</v>
      </c>
      <c r="D56" s="0" t="n">
        <v>0.137573069258551</v>
      </c>
      <c r="E56" s="0" t="n">
        <v>0.0051838659102965</v>
      </c>
      <c r="F56" s="0" t="n">
        <v>2555</v>
      </c>
      <c r="G56" s="0" t="s">
        <v>156</v>
      </c>
      <c r="H56" s="0" t="s">
        <v>13</v>
      </c>
      <c r="I56" s="0" t="s">
        <v>218</v>
      </c>
    </row>
    <row r="57" customFormat="false" ht="15" hidden="false" customHeight="false" outlineLevel="0" collapsed="false">
      <c r="A57" s="0" t="n">
        <v>1.31129254666037E-022</v>
      </c>
      <c r="B57" s="0" t="n">
        <v>0.802287656862142</v>
      </c>
      <c r="C57" s="0" t="n">
        <v>3.14001084476709E-023</v>
      </c>
      <c r="D57" s="0" t="n">
        <v>0.192103956120512</v>
      </c>
      <c r="E57" s="0" t="n">
        <v>0.0056083870173448</v>
      </c>
      <c r="F57" s="0" t="n">
        <v>4353</v>
      </c>
      <c r="G57" s="0" t="s">
        <v>156</v>
      </c>
      <c r="H57" s="0" t="s">
        <v>13</v>
      </c>
      <c r="I57" s="0" t="s">
        <v>219</v>
      </c>
    </row>
    <row r="58" customFormat="false" ht="15" hidden="false" customHeight="false" outlineLevel="0" collapsed="false">
      <c r="A58" s="0" t="n">
        <v>4.75683685737628E-016</v>
      </c>
      <c r="B58" s="0" t="n">
        <v>0.827050551326686</v>
      </c>
      <c r="C58" s="0" t="n">
        <v>9.62287479129E-017</v>
      </c>
      <c r="D58" s="0" t="n">
        <v>0.167297437903104</v>
      </c>
      <c r="E58" s="0" t="n">
        <v>0.0056520107702088</v>
      </c>
      <c r="F58" s="0" t="n">
        <v>3788</v>
      </c>
      <c r="G58" s="0" t="s">
        <v>156</v>
      </c>
      <c r="H58" s="0" t="s">
        <v>13</v>
      </c>
      <c r="I58" s="0" t="s">
        <v>220</v>
      </c>
    </row>
    <row r="59" customFormat="false" ht="15" hidden="false" customHeight="false" outlineLevel="0" collapsed="false">
      <c r="A59" s="0" t="n">
        <v>0.0161918118578128</v>
      </c>
      <c r="B59" s="0" t="n">
        <v>0.0017520526875268</v>
      </c>
      <c r="C59" s="0" t="n">
        <v>0.884076100996975</v>
      </c>
      <c r="D59" s="0" t="n">
        <v>0.0956577756198578</v>
      </c>
      <c r="E59" s="0" t="n">
        <v>0.0023222588378279</v>
      </c>
      <c r="F59" s="0" t="n">
        <v>4272</v>
      </c>
      <c r="G59" s="0" t="s">
        <v>156</v>
      </c>
      <c r="H59" s="0" t="s">
        <v>13</v>
      </c>
      <c r="I59" s="0" t="s">
        <v>187</v>
      </c>
    </row>
    <row r="60" customFormat="false" ht="15" hidden="false" customHeight="false" outlineLevel="0" collapsed="false">
      <c r="A60" s="0" t="n">
        <v>4.20512665989195E-009</v>
      </c>
      <c r="B60" s="0" t="n">
        <v>0.862912300177533</v>
      </c>
      <c r="C60" s="0" t="n">
        <v>6.42398683680056E-010</v>
      </c>
      <c r="D60" s="0" t="n">
        <v>0.131812762629688</v>
      </c>
      <c r="E60" s="0" t="n">
        <v>0.0052749323452549</v>
      </c>
      <c r="F60" s="0" t="n">
        <v>3514</v>
      </c>
      <c r="G60" s="0" t="s">
        <v>156</v>
      </c>
      <c r="H60" s="0" t="s">
        <v>13</v>
      </c>
      <c r="I60" s="0" t="s">
        <v>221</v>
      </c>
    </row>
    <row r="61" customFormat="false" ht="15" hidden="false" customHeight="false" outlineLevel="0" collapsed="false">
      <c r="A61" s="0" t="n">
        <v>8.65340871378369E-006</v>
      </c>
      <c r="B61" s="0" t="n">
        <v>0.858787263290176</v>
      </c>
      <c r="C61" s="0" t="n">
        <v>1.37977541646714E-006</v>
      </c>
      <c r="D61" s="0" t="n">
        <v>0.136924019499076</v>
      </c>
      <c r="E61" s="0" t="n">
        <v>0.0042786840266176</v>
      </c>
      <c r="F61" s="0" t="n">
        <v>3174</v>
      </c>
      <c r="G61" s="0" t="s">
        <v>156</v>
      </c>
      <c r="H61" s="0" t="s">
        <v>13</v>
      </c>
      <c r="I61" s="0" t="s">
        <v>222</v>
      </c>
    </row>
    <row r="62" customFormat="false" ht="15" hidden="false" customHeight="false" outlineLevel="0" collapsed="false">
      <c r="A62" s="0" t="n">
        <v>5.61501993135436E-009</v>
      </c>
      <c r="B62" s="0" t="n">
        <v>0.917211611193455</v>
      </c>
      <c r="C62" s="0" t="n">
        <v>4.64161156569577E-010</v>
      </c>
      <c r="D62" s="0" t="n">
        <v>0.0758066047546484</v>
      </c>
      <c r="E62" s="0" t="n">
        <v>0.0069817779727153</v>
      </c>
      <c r="F62" s="0" t="n">
        <v>2043</v>
      </c>
      <c r="G62" s="0" t="s">
        <v>156</v>
      </c>
      <c r="H62" s="0" t="s">
        <v>13</v>
      </c>
      <c r="I62" s="0" t="s">
        <v>223</v>
      </c>
    </row>
    <row r="63" customFormat="false" ht="15" hidden="false" customHeight="false" outlineLevel="0" collapsed="false">
      <c r="A63" s="0" t="n">
        <v>0.0056530757592553</v>
      </c>
      <c r="B63" s="0" t="n">
        <v>0.852461997009945</v>
      </c>
      <c r="C63" s="0" t="n">
        <v>0.0008229786699386</v>
      </c>
      <c r="D63" s="0" t="n">
        <v>0.124068017904996</v>
      </c>
      <c r="E63" s="0" t="n">
        <v>0.0169939306558647</v>
      </c>
      <c r="F63" s="0" t="n">
        <v>3114</v>
      </c>
      <c r="G63" s="0" t="s">
        <v>157</v>
      </c>
      <c r="H63" s="0" t="s">
        <v>13</v>
      </c>
      <c r="I63" s="0" t="s">
        <v>224</v>
      </c>
    </row>
    <row r="64" customFormat="false" ht="15" hidden="false" customHeight="false" outlineLevel="0" collapsed="false">
      <c r="A64" s="0" t="n">
        <v>4.17442320162643E-109</v>
      </c>
      <c r="B64" s="0" t="n">
        <v>3.94311305089415E-110</v>
      </c>
      <c r="C64" s="0" t="n">
        <v>0.91123900665605</v>
      </c>
      <c r="D64" s="0" t="n">
        <v>0.0860692247639162</v>
      </c>
      <c r="E64" s="0" t="n">
        <v>0.0026917685800397</v>
      </c>
      <c r="F64" s="0" t="n">
        <v>3949</v>
      </c>
      <c r="G64" s="0" t="s">
        <v>157</v>
      </c>
      <c r="H64" s="0" t="s">
        <v>13</v>
      </c>
      <c r="I64" s="0" t="s">
        <v>192</v>
      </c>
    </row>
    <row r="65" customFormat="false" ht="15" hidden="false" customHeight="false" outlineLevel="0" collapsed="false">
      <c r="A65" s="0" t="n">
        <v>0.0005378906263179</v>
      </c>
      <c r="B65" s="0" t="n">
        <v>0.866137440141596</v>
      </c>
      <c r="C65" s="0" t="n">
        <v>7.76592569982281E-005</v>
      </c>
      <c r="D65" s="0" t="n">
        <v>0.125034257233092</v>
      </c>
      <c r="E65" s="0" t="n">
        <v>0.0082127527419962</v>
      </c>
      <c r="F65" s="0" t="n">
        <v>2954</v>
      </c>
      <c r="G65" s="0" t="s">
        <v>157</v>
      </c>
      <c r="H65" s="0" t="s">
        <v>13</v>
      </c>
      <c r="I65" s="0" t="s">
        <v>225</v>
      </c>
    </row>
    <row r="66" customFormat="false" ht="15" hidden="false" customHeight="false" outlineLevel="0" collapsed="false">
      <c r="A66" s="0" t="n">
        <v>0.000868916890761</v>
      </c>
      <c r="B66" s="0" t="n">
        <v>0.889172054249392</v>
      </c>
      <c r="C66" s="0" t="n">
        <v>9.95702702451851E-005</v>
      </c>
      <c r="D66" s="0" t="n">
        <v>0.101875366507848</v>
      </c>
      <c r="E66" s="0" t="n">
        <v>0.0079840920817536</v>
      </c>
      <c r="F66" s="0" t="n">
        <v>2279</v>
      </c>
      <c r="G66" s="0" t="s">
        <v>157</v>
      </c>
      <c r="H66" s="0" t="s">
        <v>13</v>
      </c>
      <c r="I66" s="0" t="s">
        <v>226</v>
      </c>
    </row>
    <row r="67" customFormat="false" ht="15" hidden="false" customHeight="false" outlineLevel="0" collapsed="false">
      <c r="A67" s="0" t="n">
        <v>6.16075370756413E-013</v>
      </c>
      <c r="B67" s="0" t="n">
        <v>0.0523686322026979</v>
      </c>
      <c r="C67" s="0" t="n">
        <v>3.24920170235652E-012</v>
      </c>
      <c r="D67" s="0" t="n">
        <v>0.274848316952224</v>
      </c>
      <c r="E67" s="0" t="n">
        <v>0.672783050841213</v>
      </c>
      <c r="F67" s="0" t="n">
        <v>3269</v>
      </c>
      <c r="G67" s="0" t="s">
        <v>157</v>
      </c>
      <c r="H67" s="0" t="s">
        <v>13</v>
      </c>
      <c r="I67" s="0" t="s">
        <v>195</v>
      </c>
    </row>
    <row r="68" customFormat="false" ht="15" hidden="false" customHeight="false" outlineLevel="0" collapsed="false">
      <c r="A68" s="0" t="n">
        <v>1.53292876452521E-005</v>
      </c>
      <c r="B68" s="0" t="n">
        <v>0.0022799219334483</v>
      </c>
      <c r="C68" s="0" t="n">
        <v>3.51096500220392E-005</v>
      </c>
      <c r="D68" s="0" t="n">
        <v>0.0032329780131587</v>
      </c>
      <c r="E68" s="0" t="n">
        <v>0.994436661115726</v>
      </c>
      <c r="F68" s="0" t="n">
        <v>2250</v>
      </c>
      <c r="G68" s="0" t="s">
        <v>157</v>
      </c>
      <c r="H68" s="0" t="s">
        <v>13</v>
      </c>
      <c r="I68" s="0" t="s">
        <v>227</v>
      </c>
    </row>
    <row r="69" customFormat="false" ht="15" hidden="false" customHeight="false" outlineLevel="0" collapsed="false">
      <c r="A69" s="0" t="n">
        <v>8.55685512822204E-009</v>
      </c>
      <c r="B69" s="0" t="n">
        <v>0.880706251287267</v>
      </c>
      <c r="C69" s="0" t="n">
        <v>1.10184631453404E-009</v>
      </c>
      <c r="D69" s="0" t="n">
        <v>0.113394695610477</v>
      </c>
      <c r="E69" s="0" t="n">
        <v>0.0058990434435539</v>
      </c>
      <c r="F69" s="0" t="n">
        <v>3322</v>
      </c>
      <c r="G69" s="0" t="s">
        <v>157</v>
      </c>
      <c r="H69" s="0" t="s">
        <v>13</v>
      </c>
      <c r="I69" s="0" t="s">
        <v>198</v>
      </c>
    </row>
    <row r="70" customFormat="false" ht="15" hidden="false" customHeight="false" outlineLevel="0" collapsed="false">
      <c r="A70" s="0" t="n">
        <v>0.0081520477733532</v>
      </c>
      <c r="B70" s="0" t="n">
        <v>0.854733339967854</v>
      </c>
      <c r="C70" s="0" t="n">
        <v>0.0012134313487292</v>
      </c>
      <c r="D70" s="0" t="n">
        <v>0.127209573539763</v>
      </c>
      <c r="E70" s="0" t="n">
        <v>0.0086916073703</v>
      </c>
      <c r="F70" s="0" t="n">
        <v>3851</v>
      </c>
      <c r="G70" s="0" t="s">
        <v>157</v>
      </c>
      <c r="H70" s="0" t="s">
        <v>13</v>
      </c>
      <c r="I70" s="0" t="s">
        <v>228</v>
      </c>
    </row>
    <row r="71" customFormat="false" ht="15" hidden="false" customHeight="false" outlineLevel="0" collapsed="false">
      <c r="A71" s="0" t="n">
        <v>2.88095558120695E-017</v>
      </c>
      <c r="B71" s="0" t="n">
        <v>0.0672717027570628</v>
      </c>
      <c r="C71" s="0" t="n">
        <v>3.99036672649797E-016</v>
      </c>
      <c r="D71" s="0" t="n">
        <v>0.931767961751794</v>
      </c>
      <c r="E71" s="0" t="n">
        <v>0.0009603354911398</v>
      </c>
      <c r="F71" s="0" t="n">
        <v>2619</v>
      </c>
      <c r="G71" s="0" t="s">
        <v>157</v>
      </c>
      <c r="H71" s="0" t="s">
        <v>13</v>
      </c>
      <c r="I71" s="0" t="s">
        <v>199</v>
      </c>
    </row>
    <row r="72" customFormat="false" ht="15" hidden="false" customHeight="false" outlineLevel="0" collapsed="false">
      <c r="A72" s="0" t="n">
        <v>5.84757629693398E-006</v>
      </c>
      <c r="B72" s="0" t="n">
        <v>0.8555769463784</v>
      </c>
      <c r="C72" s="0" t="n">
        <v>9.34900889881256E-007</v>
      </c>
      <c r="D72" s="0" t="n">
        <v>0.136772949698796</v>
      </c>
      <c r="E72" s="0" t="n">
        <v>0.0076433214456174</v>
      </c>
      <c r="F72" s="0" t="n">
        <v>3437</v>
      </c>
      <c r="G72" s="0" t="s">
        <v>157</v>
      </c>
      <c r="H72" s="0" t="s">
        <v>13</v>
      </c>
      <c r="I72" s="0" t="s">
        <v>229</v>
      </c>
    </row>
    <row r="73" customFormat="false" ht="15" hidden="false" customHeight="false" outlineLevel="0" collapsed="false">
      <c r="A73" s="0" t="n">
        <v>3.07526974458321E-057</v>
      </c>
      <c r="B73" s="0" t="n">
        <v>0.854883460858363</v>
      </c>
      <c r="C73" s="0" t="n">
        <v>5.06101118039409E-058</v>
      </c>
      <c r="D73" s="0" t="n">
        <v>0.140680404206085</v>
      </c>
      <c r="E73" s="0" t="n">
        <v>0.0044361349355491</v>
      </c>
      <c r="F73" s="0" t="n">
        <v>3799</v>
      </c>
      <c r="G73" s="0" t="s">
        <v>157</v>
      </c>
      <c r="H73" s="0" t="s">
        <v>13</v>
      </c>
      <c r="I73" s="0" t="s">
        <v>203</v>
      </c>
    </row>
    <row r="74" customFormat="false" ht="15" hidden="false" customHeight="false" outlineLevel="0" collapsed="false">
      <c r="A74" s="0" t="n">
        <v>4.29043364604363E-005</v>
      </c>
      <c r="B74" s="0" t="n">
        <v>0.789937709791961</v>
      </c>
      <c r="C74" s="0" t="n">
        <v>1.11179805198554E-005</v>
      </c>
      <c r="D74" s="0" t="n">
        <v>0.204689231308684</v>
      </c>
      <c r="E74" s="0" t="n">
        <v>0.0053190365823752</v>
      </c>
      <c r="F74" s="0" t="n">
        <v>4413</v>
      </c>
      <c r="G74" s="0" t="s">
        <v>157</v>
      </c>
      <c r="H74" s="0" t="s">
        <v>13</v>
      </c>
      <c r="I74" s="0" t="s">
        <v>230</v>
      </c>
    </row>
    <row r="75" customFormat="false" ht="15" hidden="false" customHeight="false" outlineLevel="0" collapsed="false">
      <c r="A75" s="0" t="n">
        <v>7.79002708797773E-005</v>
      </c>
      <c r="B75" s="0" t="n">
        <v>1.47025229526131E-005</v>
      </c>
      <c r="C75" s="0" t="n">
        <v>0.838873259152242</v>
      </c>
      <c r="D75" s="0" t="n">
        <v>0.158319480312282</v>
      </c>
      <c r="E75" s="0" t="n">
        <v>0.0027146577416445</v>
      </c>
      <c r="F75" s="0" t="n">
        <v>4779</v>
      </c>
      <c r="G75" s="0" t="s">
        <v>157</v>
      </c>
      <c r="H75" s="0" t="s">
        <v>13</v>
      </c>
      <c r="I75" s="0" t="s">
        <v>190</v>
      </c>
    </row>
    <row r="76" customFormat="false" ht="15" hidden="false" customHeight="false" outlineLevel="0" collapsed="false">
      <c r="A76" s="0" t="n">
        <v>8.26271043157621E-005</v>
      </c>
      <c r="B76" s="0" t="n">
        <v>0.718338191628288</v>
      </c>
      <c r="C76" s="0" t="n">
        <v>3.19312593230004E-005</v>
      </c>
      <c r="D76" s="0" t="n">
        <v>0.277594016878917</v>
      </c>
      <c r="E76" s="0" t="n">
        <v>0.0039532331291571</v>
      </c>
      <c r="F76" s="0" t="n">
        <v>3119</v>
      </c>
      <c r="G76" s="0" t="s">
        <v>157</v>
      </c>
      <c r="H76" s="0" t="s">
        <v>13</v>
      </c>
      <c r="I76" s="0" t="s">
        <v>231</v>
      </c>
    </row>
    <row r="77" customFormat="false" ht="15" hidden="false" customHeight="false" outlineLevel="0" collapsed="false">
      <c r="A77" s="0" t="n">
        <v>0.0023748987246732</v>
      </c>
      <c r="B77" s="0" t="n">
        <v>0.832071701732986</v>
      </c>
      <c r="C77" s="0" t="n">
        <v>0.0004565479035558</v>
      </c>
      <c r="D77" s="0" t="n">
        <v>0.159946242227723</v>
      </c>
      <c r="E77" s="0" t="n">
        <v>0.0051506094110621</v>
      </c>
      <c r="F77" s="0" t="n">
        <v>3455</v>
      </c>
      <c r="G77" s="0" t="s">
        <v>157</v>
      </c>
      <c r="H77" s="0" t="s">
        <v>13</v>
      </c>
      <c r="I77" s="0" t="s">
        <v>204</v>
      </c>
    </row>
    <row r="78" customFormat="false" ht="15" hidden="false" customHeight="false" outlineLevel="0" collapsed="false">
      <c r="A78" s="0" t="n">
        <v>0.0016671800938079</v>
      </c>
      <c r="B78" s="0" t="n">
        <v>0.695220176354069</v>
      </c>
      <c r="C78" s="0" t="n">
        <v>0.0007100952930119</v>
      </c>
      <c r="D78" s="0" t="n">
        <v>0.296099719982101</v>
      </c>
      <c r="E78" s="0" t="n">
        <v>0.0063028282770107</v>
      </c>
      <c r="F78" s="0" t="n">
        <v>2619</v>
      </c>
      <c r="G78" s="0" t="s">
        <v>157</v>
      </c>
      <c r="H78" s="0" t="s">
        <v>13</v>
      </c>
      <c r="I78" s="0" t="s">
        <v>232</v>
      </c>
    </row>
    <row r="79" customFormat="false" ht="15" hidden="false" customHeight="false" outlineLevel="0" collapsed="false">
      <c r="A79" s="0" t="n">
        <v>0.0002884474235097</v>
      </c>
      <c r="B79" s="0" t="n">
        <v>0.847455410236638</v>
      </c>
      <c r="C79" s="0" t="n">
        <v>4.51292538348721E-005</v>
      </c>
      <c r="D79" s="0" t="n">
        <v>0.132549937468226</v>
      </c>
      <c r="E79" s="0" t="n">
        <v>0.019661075617792</v>
      </c>
      <c r="F79" s="0" t="n">
        <v>2863</v>
      </c>
      <c r="G79" s="0" t="s">
        <v>157</v>
      </c>
      <c r="H79" s="0" t="s">
        <v>13</v>
      </c>
      <c r="I79" s="0" t="s">
        <v>233</v>
      </c>
    </row>
    <row r="80" customFormat="false" ht="15" hidden="false" customHeight="false" outlineLevel="0" collapsed="false">
      <c r="A80" s="0" t="n">
        <v>2.72921879391767E-005</v>
      </c>
      <c r="B80" s="0" t="n">
        <v>0.734238128685311</v>
      </c>
      <c r="C80" s="0" t="n">
        <v>9.68010705923022E-006</v>
      </c>
      <c r="D80" s="0" t="n">
        <v>0.260412016365195</v>
      </c>
      <c r="E80" s="0" t="n">
        <v>0.0053128826544954</v>
      </c>
      <c r="F80" s="0" t="n">
        <v>3371</v>
      </c>
      <c r="G80" s="0" t="s">
        <v>157</v>
      </c>
      <c r="H80" s="0" t="s">
        <v>13</v>
      </c>
      <c r="I80" s="0" t="s">
        <v>234</v>
      </c>
    </row>
    <row r="81" customFormat="false" ht="15" hidden="false" customHeight="false" outlineLevel="0" collapsed="false">
      <c r="A81" s="0" t="n">
        <v>3.77333742069841E-108</v>
      </c>
      <c r="B81" s="0" t="n">
        <v>2.33063503468942E-109</v>
      </c>
      <c r="C81" s="0" t="n">
        <v>0.937880061907974</v>
      </c>
      <c r="D81" s="0" t="n">
        <v>0.0579205879476819</v>
      </c>
      <c r="E81" s="0" t="n">
        <v>0.0041993501443332</v>
      </c>
      <c r="F81" s="0" t="n">
        <v>2166</v>
      </c>
      <c r="G81" s="0" t="s">
        <v>157</v>
      </c>
      <c r="H81" s="0" t="s">
        <v>13</v>
      </c>
      <c r="I81" s="0" t="s">
        <v>175</v>
      </c>
    </row>
    <row r="82" customFormat="false" ht="15" hidden="false" customHeight="false" outlineLevel="0" collapsed="false">
      <c r="A82" s="0" t="n">
        <v>0.0026325638094868</v>
      </c>
      <c r="B82" s="0" t="n">
        <v>0.85143636219035</v>
      </c>
      <c r="C82" s="0" t="n">
        <v>0.0004241151679909</v>
      </c>
      <c r="D82" s="0" t="n">
        <v>0.137152644867943</v>
      </c>
      <c r="E82" s="0" t="n">
        <v>0.0083543139642295</v>
      </c>
      <c r="F82" s="0" t="n">
        <v>2669</v>
      </c>
      <c r="G82" s="0" t="s">
        <v>157</v>
      </c>
      <c r="H82" s="0" t="s">
        <v>13</v>
      </c>
      <c r="I82" s="0" t="s">
        <v>207</v>
      </c>
    </row>
    <row r="83" customFormat="false" ht="15" hidden="false" customHeight="false" outlineLevel="0" collapsed="false">
      <c r="A83" s="0" t="n">
        <v>0.0079148199383765</v>
      </c>
      <c r="B83" s="0" t="n">
        <v>0.0008727933481817</v>
      </c>
      <c r="C83" s="0" t="n">
        <v>0.889721153191581</v>
      </c>
      <c r="D83" s="0" t="n">
        <v>0.09810572051368</v>
      </c>
      <c r="E83" s="0" t="n">
        <v>0.003385513008181</v>
      </c>
      <c r="F83" s="0" t="n">
        <v>3160</v>
      </c>
      <c r="G83" s="0" t="s">
        <v>157</v>
      </c>
      <c r="H83" s="0" t="s">
        <v>13</v>
      </c>
      <c r="I83" s="0" t="s">
        <v>176</v>
      </c>
    </row>
    <row r="84" customFormat="false" ht="15" hidden="false" customHeight="false" outlineLevel="0" collapsed="false">
      <c r="A84" s="0" t="n">
        <v>4.08292493053089E-005</v>
      </c>
      <c r="B84" s="0" t="n">
        <v>0.880884191386704</v>
      </c>
      <c r="C84" s="0" t="n">
        <v>5.26395865757942E-006</v>
      </c>
      <c r="D84" s="0" t="n">
        <v>0.113557999866442</v>
      </c>
      <c r="E84" s="0" t="n">
        <v>0.0055117155388908</v>
      </c>
      <c r="F84" s="0" t="n">
        <v>3321</v>
      </c>
      <c r="G84" s="0" t="s">
        <v>157</v>
      </c>
      <c r="H84" s="0" t="s">
        <v>13</v>
      </c>
      <c r="I84" s="0" t="s">
        <v>235</v>
      </c>
    </row>
    <row r="85" customFormat="false" ht="15" hidden="false" customHeight="false" outlineLevel="0" collapsed="false">
      <c r="A85" s="0" t="n">
        <v>3.72408781150359E-038</v>
      </c>
      <c r="B85" s="0" t="n">
        <v>0.879072692903978</v>
      </c>
      <c r="C85" s="0" t="n">
        <v>4.65869649459863E-039</v>
      </c>
      <c r="D85" s="0" t="n">
        <v>0.109946790516652</v>
      </c>
      <c r="E85" s="0" t="n">
        <v>0.0109805165793659</v>
      </c>
      <c r="F85" s="0" t="n">
        <v>3218</v>
      </c>
      <c r="G85" s="0" t="s">
        <v>157</v>
      </c>
      <c r="H85" s="0" t="s">
        <v>13</v>
      </c>
      <c r="I85" s="0" t="s">
        <v>211</v>
      </c>
    </row>
    <row r="86" customFormat="false" ht="15" hidden="false" customHeight="false" outlineLevel="0" collapsed="false">
      <c r="A86" s="0" t="n">
        <v>1.40928637795792E-006</v>
      </c>
      <c r="B86" s="0" t="n">
        <v>0.861963475390619</v>
      </c>
      <c r="C86" s="0" t="n">
        <v>2.12918670526601E-007</v>
      </c>
      <c r="D86" s="0" t="n">
        <v>0.130212049739079</v>
      </c>
      <c r="E86" s="0" t="n">
        <v>0.0078228526652537</v>
      </c>
      <c r="F86" s="0" t="n">
        <v>2698</v>
      </c>
      <c r="G86" s="0" t="s">
        <v>157</v>
      </c>
      <c r="H86" s="0" t="s">
        <v>13</v>
      </c>
      <c r="I86" s="0" t="s">
        <v>236</v>
      </c>
    </row>
    <row r="87" customFormat="false" ht="15" hidden="false" customHeight="false" outlineLevel="0" collapsed="false">
      <c r="A87" s="0" t="n">
        <v>0.0002215698227259</v>
      </c>
      <c r="B87" s="0" t="n">
        <v>0.753942703781717</v>
      </c>
      <c r="C87" s="0" t="n">
        <v>7.0753872605363E-005</v>
      </c>
      <c r="D87" s="0" t="n">
        <v>0.240746422234985</v>
      </c>
      <c r="E87" s="0" t="n">
        <v>0.005018550287967</v>
      </c>
      <c r="F87" s="0" t="n">
        <v>4416</v>
      </c>
      <c r="G87" s="0" t="s">
        <v>157</v>
      </c>
      <c r="H87" s="0" t="s">
        <v>13</v>
      </c>
      <c r="I87" s="0" t="s">
        <v>237</v>
      </c>
    </row>
    <row r="88" customFormat="false" ht="15" hidden="false" customHeight="false" outlineLevel="0" collapsed="false">
      <c r="A88" s="0" t="n">
        <v>6.25254258306282E-020</v>
      </c>
      <c r="B88" s="0" t="n">
        <v>0.786206808495263</v>
      </c>
      <c r="C88" s="0" t="n">
        <v>1.66539101192347E-020</v>
      </c>
      <c r="D88" s="0" t="n">
        <v>0.209400704844125</v>
      </c>
      <c r="E88" s="0" t="n">
        <v>0.0043924866606114</v>
      </c>
      <c r="F88" s="0" t="n">
        <v>5172</v>
      </c>
      <c r="G88" s="0" t="s">
        <v>157</v>
      </c>
      <c r="H88" s="0" t="s">
        <v>13</v>
      </c>
      <c r="I88" s="0" t="s">
        <v>215</v>
      </c>
    </row>
    <row r="89" customFormat="false" ht="15" hidden="false" customHeight="false" outlineLevel="0" collapsed="false">
      <c r="A89" s="0" t="n">
        <v>3.71055369629865E-017</v>
      </c>
      <c r="B89" s="0" t="n">
        <v>0.090604811745768</v>
      </c>
      <c r="C89" s="0" t="n">
        <v>2.81942301601321E-017</v>
      </c>
      <c r="D89" s="0" t="n">
        <v>0.0671605907356088</v>
      </c>
      <c r="E89" s="0" t="n">
        <v>0.842234597518624</v>
      </c>
      <c r="F89" s="0" t="n">
        <v>2123</v>
      </c>
      <c r="G89" s="0" t="s">
        <v>157</v>
      </c>
      <c r="H89" s="0" t="s">
        <v>13</v>
      </c>
      <c r="I89" s="0" t="s">
        <v>238</v>
      </c>
    </row>
    <row r="90" customFormat="false" ht="15" hidden="false" customHeight="false" outlineLevel="0" collapsed="false">
      <c r="A90" s="0" t="n">
        <v>2.86377059748011E-013</v>
      </c>
      <c r="B90" s="0" t="n">
        <v>1.41516438881492E-013</v>
      </c>
      <c r="C90" s="0" t="n">
        <v>0.662710933711911</v>
      </c>
      <c r="D90" s="0" t="n">
        <v>0.327466402014984</v>
      </c>
      <c r="E90" s="0" t="n">
        <v>0.0098226642726781</v>
      </c>
      <c r="F90" s="0" t="n">
        <v>6105</v>
      </c>
      <c r="G90" s="0" t="s">
        <v>157</v>
      </c>
      <c r="H90" s="0" t="s">
        <v>13</v>
      </c>
      <c r="I90" s="0" t="s">
        <v>184</v>
      </c>
    </row>
    <row r="91" customFormat="false" ht="15" hidden="false" customHeight="false" outlineLevel="0" collapsed="false">
      <c r="A91" s="0" t="n">
        <v>6.07127367476768E-006</v>
      </c>
      <c r="B91" s="0" t="n">
        <v>0.554902893303065</v>
      </c>
      <c r="C91" s="0" t="n">
        <v>4.79586824648575E-006</v>
      </c>
      <c r="D91" s="0" t="n">
        <v>0.438319724278437</v>
      </c>
      <c r="E91" s="0" t="n">
        <v>0.0067665152765765</v>
      </c>
      <c r="F91" s="0" t="n">
        <v>3251</v>
      </c>
      <c r="G91" s="0" t="s">
        <v>157</v>
      </c>
      <c r="H91" s="0" t="s">
        <v>13</v>
      </c>
      <c r="I91" s="0" t="s">
        <v>239</v>
      </c>
    </row>
    <row r="92" customFormat="false" ht="15" hidden="false" customHeight="false" outlineLevel="0" collapsed="false">
      <c r="A92" s="0" t="n">
        <v>0.017175494630169</v>
      </c>
      <c r="B92" s="0" t="n">
        <v>0.0017660456019592</v>
      </c>
      <c r="C92" s="0" t="n">
        <v>0.88700028131413</v>
      </c>
      <c r="D92" s="0" t="n">
        <v>0.0911988130443481</v>
      </c>
      <c r="E92" s="0" t="n">
        <v>0.0028593654093934</v>
      </c>
      <c r="F92" s="0" t="n">
        <v>3219</v>
      </c>
      <c r="G92" s="0" t="s">
        <v>157</v>
      </c>
      <c r="H92" s="0" t="s">
        <v>13</v>
      </c>
      <c r="I92" s="0" t="s">
        <v>185</v>
      </c>
    </row>
    <row r="93" customFormat="false" ht="15" hidden="false" customHeight="false" outlineLevel="0" collapsed="false">
      <c r="A93" s="0" t="n">
        <v>1.92276856937287E-021</v>
      </c>
      <c r="B93" s="0" t="n">
        <v>0.812013642453323</v>
      </c>
      <c r="C93" s="0" t="n">
        <v>4.33823545452459E-022</v>
      </c>
      <c r="D93" s="0" t="n">
        <v>0.18320053639465</v>
      </c>
      <c r="E93" s="0" t="n">
        <v>0.0047858211520235</v>
      </c>
      <c r="F93" s="0" t="n">
        <v>4090</v>
      </c>
      <c r="G93" s="0" t="s">
        <v>157</v>
      </c>
      <c r="H93" s="0" t="s">
        <v>13</v>
      </c>
      <c r="I93" s="0" t="s">
        <v>240</v>
      </c>
    </row>
    <row r="94" customFormat="false" ht="15" hidden="false" customHeight="false" outlineLevel="0" collapsed="false">
      <c r="A94" s="0" t="n">
        <v>0.0009878017217572</v>
      </c>
      <c r="B94" s="0" t="n">
        <v>0.828228284092306</v>
      </c>
      <c r="C94" s="0" t="n">
        <v>0.0001973567119832</v>
      </c>
      <c r="D94" s="0" t="n">
        <v>0.165464676274379</v>
      </c>
      <c r="E94" s="0" t="n">
        <v>0.0051218811995744</v>
      </c>
      <c r="F94" s="0" t="n">
        <v>3312</v>
      </c>
      <c r="G94" s="0" t="s">
        <v>157</v>
      </c>
      <c r="H94" s="0" t="s">
        <v>13</v>
      </c>
      <c r="I94" s="0" t="s">
        <v>241</v>
      </c>
    </row>
    <row r="95" customFormat="false" ht="15" hidden="false" customHeight="false" outlineLevel="0" collapsed="false">
      <c r="A95" s="0" t="n">
        <v>1.06600267455988E-026</v>
      </c>
      <c r="B95" s="0" t="n">
        <v>0.80226549420038</v>
      </c>
      <c r="C95" s="0" t="n">
        <v>2.55264164140459E-027</v>
      </c>
      <c r="D95" s="0" t="n">
        <v>0.192098594017385</v>
      </c>
      <c r="E95" s="0" t="n">
        <v>0.0056359117822325</v>
      </c>
      <c r="F95" s="0" t="n">
        <v>4353</v>
      </c>
      <c r="G95" s="0" t="s">
        <v>157</v>
      </c>
      <c r="H95" s="0" t="s">
        <v>13</v>
      </c>
      <c r="I95" s="0" t="s">
        <v>219</v>
      </c>
    </row>
    <row r="96" customFormat="false" ht="15" hidden="false" customHeight="false" outlineLevel="0" collapsed="false">
      <c r="A96" s="0" t="n">
        <v>3.50852818017313E-019</v>
      </c>
      <c r="B96" s="0" t="n">
        <v>0.826918523182137</v>
      </c>
      <c r="C96" s="0" t="n">
        <v>7.09760044159696E-020</v>
      </c>
      <c r="D96" s="0" t="n">
        <v>0.167270411071747</v>
      </c>
      <c r="E96" s="0" t="n">
        <v>0.0058110657461169</v>
      </c>
      <c r="F96" s="0" t="n">
        <v>3788</v>
      </c>
      <c r="G96" s="0" t="s">
        <v>157</v>
      </c>
      <c r="H96" s="0" t="s">
        <v>13</v>
      </c>
      <c r="I96" s="0" t="s">
        <v>220</v>
      </c>
    </row>
    <row r="97" customFormat="false" ht="15" hidden="false" customHeight="false" outlineLevel="0" collapsed="false">
      <c r="A97" s="0" t="n">
        <v>0.0161971836041607</v>
      </c>
      <c r="B97" s="0" t="n">
        <v>0.001748575025059</v>
      </c>
      <c r="C97" s="0" t="n">
        <v>0.884369399400419</v>
      </c>
      <c r="D97" s="0" t="n">
        <v>0.0954681056124631</v>
      </c>
      <c r="E97" s="0" t="n">
        <v>0.002216736357898</v>
      </c>
      <c r="F97" s="0" t="n">
        <v>4272</v>
      </c>
      <c r="G97" s="0" t="s">
        <v>157</v>
      </c>
      <c r="H97" s="0" t="s">
        <v>13</v>
      </c>
      <c r="I97" s="0" t="s">
        <v>187</v>
      </c>
    </row>
    <row r="98" customFormat="false" ht="15" hidden="false" customHeight="false" outlineLevel="0" collapsed="false">
      <c r="A98" s="0" t="n">
        <v>2.39845570766412E-005</v>
      </c>
      <c r="B98" s="0" t="n">
        <v>0.862868033557432</v>
      </c>
      <c r="C98" s="0" t="n">
        <v>3.66401517501007E-006</v>
      </c>
      <c r="D98" s="0" t="n">
        <v>0.131805953348699</v>
      </c>
      <c r="E98" s="0" t="n">
        <v>0.0052983645216175</v>
      </c>
      <c r="F98" s="0" t="n">
        <v>3514</v>
      </c>
      <c r="G98" s="0" t="s">
        <v>157</v>
      </c>
      <c r="H98" s="0" t="s">
        <v>13</v>
      </c>
      <c r="I98" s="0" t="s">
        <v>221</v>
      </c>
    </row>
    <row r="99" customFormat="false" ht="15" hidden="false" customHeight="false" outlineLevel="0" collapsed="false">
      <c r="A99" s="0" t="n">
        <v>4.05505229713508E-005</v>
      </c>
      <c r="B99" s="0" t="n">
        <v>0.630419981707872</v>
      </c>
      <c r="C99" s="0" t="n">
        <v>2.35344795828254E-005</v>
      </c>
      <c r="D99" s="0" t="n">
        <v>0.365872240199476</v>
      </c>
      <c r="E99" s="0" t="n">
        <v>0.0036436930900978</v>
      </c>
      <c r="F99" s="0" t="n">
        <v>3570</v>
      </c>
      <c r="G99" s="0" t="s">
        <v>157</v>
      </c>
      <c r="H99" s="0" t="s">
        <v>13</v>
      </c>
      <c r="I99" s="0" t="s">
        <v>242</v>
      </c>
    </row>
    <row r="100" customFormat="false" ht="15" hidden="false" customHeight="false" outlineLevel="0" collapsed="false">
      <c r="A100" s="0" t="n">
        <v>1.26379017941837E-014</v>
      </c>
      <c r="B100" s="0" t="n">
        <v>0.858795911466468</v>
      </c>
      <c r="C100" s="0" t="n">
        <v>2.01509795597255E-015</v>
      </c>
      <c r="D100" s="0" t="n">
        <v>0.136925398428032</v>
      </c>
      <c r="E100" s="0" t="n">
        <v>0.0042786901054876</v>
      </c>
      <c r="F100" s="0" t="n">
        <v>3174</v>
      </c>
      <c r="G100" s="0" t="s">
        <v>157</v>
      </c>
      <c r="H100" s="0" t="s">
        <v>13</v>
      </c>
      <c r="I100" s="0" t="s">
        <v>222</v>
      </c>
    </row>
    <row r="101" customFormat="false" ht="15" hidden="false" customHeight="false" outlineLevel="0" collapsed="false">
      <c r="A101" s="0" t="n">
        <v>0.0070092288658111</v>
      </c>
      <c r="B101" s="0" t="n">
        <v>0.839182741441076</v>
      </c>
      <c r="C101" s="0" t="n">
        <v>0.0012350639004433</v>
      </c>
      <c r="D101" s="0" t="n">
        <v>0.147859093839753</v>
      </c>
      <c r="E101" s="0" t="n">
        <v>0.0047138719529171</v>
      </c>
      <c r="F101" s="0" t="n">
        <v>3656</v>
      </c>
      <c r="G101" s="0" t="s">
        <v>157</v>
      </c>
      <c r="H101" s="0" t="s">
        <v>13</v>
      </c>
      <c r="I101" s="0" t="s">
        <v>243</v>
      </c>
    </row>
    <row r="102" customFormat="false" ht="15" hidden="false" customHeight="false" outlineLevel="0" collapsed="false">
      <c r="A102" s="0" t="n">
        <v>3.75378985402535E-007</v>
      </c>
      <c r="B102" s="0" t="n">
        <v>0.917292900498523</v>
      </c>
      <c r="C102" s="0" t="n">
        <v>3.10304052606148E-008</v>
      </c>
      <c r="D102" s="0" t="n">
        <v>0.0758135016434445</v>
      </c>
      <c r="E102" s="0" t="n">
        <v>0.0068931914486413</v>
      </c>
      <c r="F102" s="0" t="n">
        <v>2043</v>
      </c>
      <c r="G102" s="0" t="s">
        <v>157</v>
      </c>
      <c r="H102" s="0" t="s">
        <v>13</v>
      </c>
      <c r="I102" s="0" t="s">
        <v>223</v>
      </c>
    </row>
    <row r="103" customFormat="false" ht="15" hidden="false" customHeight="false" outlineLevel="0" collapsed="false">
      <c r="A103" s="0" t="n">
        <v>9.5660551120437E-005</v>
      </c>
      <c r="B103" s="0" t="n">
        <v>8.15215461750445E-005</v>
      </c>
      <c r="C103" s="0" t="n">
        <v>0.535589026695898</v>
      </c>
      <c r="D103" s="0" t="n">
        <v>0.456411221099203</v>
      </c>
      <c r="E103" s="0" t="n">
        <v>0.0078225701076046</v>
      </c>
      <c r="F103" s="0" t="n">
        <v>3909</v>
      </c>
      <c r="G103" s="0" t="s">
        <v>157</v>
      </c>
      <c r="H103" s="0" t="s">
        <v>13</v>
      </c>
      <c r="I103" s="0" t="s">
        <v>191</v>
      </c>
    </row>
    <row r="104" customFormat="false" ht="15" hidden="false" customHeight="false" outlineLevel="0" collapsed="false">
      <c r="A104" s="0" t="n">
        <v>0.0059461125825968</v>
      </c>
      <c r="B104" s="0" t="n">
        <v>0.873210273025319</v>
      </c>
      <c r="C104" s="0" t="n">
        <v>0.0007865613050744</v>
      </c>
      <c r="D104" s="0" t="n">
        <v>0.115500541800551</v>
      </c>
      <c r="E104" s="0" t="n">
        <v>0.0045565112864599</v>
      </c>
      <c r="F104" s="0" t="n">
        <v>3080</v>
      </c>
      <c r="G104" s="0" t="s">
        <v>158</v>
      </c>
      <c r="H104" s="0" t="s">
        <v>13</v>
      </c>
      <c r="I104" s="0" t="s">
        <v>244</v>
      </c>
    </row>
    <row r="105" customFormat="false" ht="15" hidden="false" customHeight="false" outlineLevel="0" collapsed="false">
      <c r="A105" s="0" t="n">
        <v>4.03032806531394E-109</v>
      </c>
      <c r="B105" s="0" t="n">
        <v>4.4516477237525E-110</v>
      </c>
      <c r="C105" s="0" t="n">
        <v>0.879784335546948</v>
      </c>
      <c r="D105" s="0" t="n">
        <v>0.0971292896758755</v>
      </c>
      <c r="E105" s="0" t="n">
        <v>0.0230863747771781</v>
      </c>
      <c r="F105" s="0" t="n">
        <v>3949</v>
      </c>
      <c r="G105" s="0" t="s">
        <v>158</v>
      </c>
      <c r="H105" s="0" t="s">
        <v>13</v>
      </c>
      <c r="I105" s="0" t="s">
        <v>192</v>
      </c>
    </row>
    <row r="106" customFormat="false" ht="15" hidden="false" customHeight="false" outlineLevel="0" collapsed="false">
      <c r="A106" s="0" t="n">
        <v>4.26131450966428E-006</v>
      </c>
      <c r="B106" s="0" t="n">
        <v>0.866573614259931</v>
      </c>
      <c r="C106" s="0" t="n">
        <v>6.20764673806759E-007</v>
      </c>
      <c r="D106" s="0" t="n">
        <v>0.126223243476777</v>
      </c>
      <c r="E106" s="0" t="n">
        <v>0.0071982601841087</v>
      </c>
      <c r="F106" s="0" t="n">
        <v>2918</v>
      </c>
      <c r="G106" s="0" t="s">
        <v>158</v>
      </c>
      <c r="H106" s="0" t="s">
        <v>13</v>
      </c>
      <c r="I106" s="0" t="s">
        <v>245</v>
      </c>
    </row>
    <row r="107" customFormat="false" ht="15" hidden="false" customHeight="false" outlineLevel="0" collapsed="false">
      <c r="A107" s="0" t="n">
        <v>0.0073545281019691</v>
      </c>
      <c r="B107" s="0" t="n">
        <v>0.882649800835718</v>
      </c>
      <c r="C107" s="0" t="n">
        <v>0.000842764547939</v>
      </c>
      <c r="D107" s="0" t="n">
        <v>0.101127891508624</v>
      </c>
      <c r="E107" s="0" t="n">
        <v>0.0080250150057497</v>
      </c>
      <c r="F107" s="0" t="n">
        <v>2279</v>
      </c>
      <c r="G107" s="0" t="s">
        <v>158</v>
      </c>
      <c r="H107" s="0" t="s">
        <v>13</v>
      </c>
      <c r="I107" s="0" t="s">
        <v>226</v>
      </c>
    </row>
    <row r="108" customFormat="false" ht="15" hidden="false" customHeight="false" outlineLevel="0" collapsed="false">
      <c r="A108" s="0" t="n">
        <v>7.19001905116371E-009</v>
      </c>
      <c r="B108" s="0" t="n">
        <v>0.825888719967873</v>
      </c>
      <c r="C108" s="0" t="n">
        <v>1.34528207607832E-009</v>
      </c>
      <c r="D108" s="0" t="n">
        <v>0.154487922688425</v>
      </c>
      <c r="E108" s="0" t="n">
        <v>0.0196233488083993</v>
      </c>
      <c r="F108" s="0" t="n">
        <v>3252</v>
      </c>
      <c r="G108" s="0" t="s">
        <v>158</v>
      </c>
      <c r="H108" s="0" t="s">
        <v>13</v>
      </c>
      <c r="I108" s="0" t="s">
        <v>246</v>
      </c>
    </row>
    <row r="109" customFormat="false" ht="15" hidden="false" customHeight="false" outlineLevel="0" collapsed="false">
      <c r="A109" s="0" t="n">
        <v>1.38900641762132E-005</v>
      </c>
      <c r="B109" s="0" t="n">
        <v>0.845640715296385</v>
      </c>
      <c r="C109" s="0" t="n">
        <v>2.44631831185264E-006</v>
      </c>
      <c r="D109" s="0" t="n">
        <v>0.148923416446775</v>
      </c>
      <c r="E109" s="0" t="n">
        <v>0.0054195318743511</v>
      </c>
      <c r="F109" s="0" t="n">
        <v>4403</v>
      </c>
      <c r="G109" s="0" t="s">
        <v>158</v>
      </c>
      <c r="H109" s="0" t="s">
        <v>13</v>
      </c>
      <c r="I109" s="0" t="s">
        <v>247</v>
      </c>
    </row>
    <row r="110" customFormat="false" ht="15" hidden="false" customHeight="false" outlineLevel="0" collapsed="false">
      <c r="A110" s="0" t="n">
        <v>0.0002777708736371</v>
      </c>
      <c r="B110" s="0" t="n">
        <v>0.857493574469373</v>
      </c>
      <c r="C110" s="0" t="n">
        <v>4.34706307312747E-005</v>
      </c>
      <c r="D110" s="0" t="n">
        <v>0.134180156887592</v>
      </c>
      <c r="E110" s="0" t="n">
        <v>0.0080050271386674</v>
      </c>
      <c r="F110" s="0" t="n">
        <v>2049</v>
      </c>
      <c r="G110" s="0" t="s">
        <v>158</v>
      </c>
      <c r="H110" s="0" t="s">
        <v>13</v>
      </c>
      <c r="I110" s="0" t="s">
        <v>248</v>
      </c>
    </row>
    <row r="111" customFormat="false" ht="15" hidden="false" customHeight="false" outlineLevel="0" collapsed="false">
      <c r="A111" s="0" t="n">
        <v>0.0002099617977647</v>
      </c>
      <c r="B111" s="0" t="n">
        <v>0.82214567979526</v>
      </c>
      <c r="C111" s="0" t="n">
        <v>4.4112133255875E-005</v>
      </c>
      <c r="D111" s="0" t="n">
        <v>0.172719755382449</v>
      </c>
      <c r="E111" s="0" t="n">
        <v>0.0048804908912696</v>
      </c>
      <c r="F111" s="0" t="n">
        <v>3680</v>
      </c>
      <c r="G111" s="0" t="s">
        <v>158</v>
      </c>
      <c r="H111" s="0" t="s">
        <v>13</v>
      </c>
      <c r="I111" s="0" t="s">
        <v>249</v>
      </c>
    </row>
    <row r="112" customFormat="false" ht="15" hidden="false" customHeight="false" outlineLevel="0" collapsed="false">
      <c r="A112" s="0" t="n">
        <v>7.87145645962735E-005</v>
      </c>
      <c r="B112" s="0" t="n">
        <v>0.84186118453534</v>
      </c>
      <c r="C112" s="0" t="n">
        <v>1.36275013988831E-005</v>
      </c>
      <c r="D112" s="0" t="n">
        <v>0.145723024180772</v>
      </c>
      <c r="E112" s="0" t="n">
        <v>0.012323449217893</v>
      </c>
      <c r="F112" s="0" t="n">
        <v>3477</v>
      </c>
      <c r="G112" s="0" t="s">
        <v>158</v>
      </c>
      <c r="H112" s="0" t="s">
        <v>13</v>
      </c>
      <c r="I112" s="0" t="s">
        <v>250</v>
      </c>
    </row>
    <row r="113" customFormat="false" ht="15" hidden="false" customHeight="false" outlineLevel="0" collapsed="false">
      <c r="A113" s="0" t="n">
        <v>3.56897446134646E-019</v>
      </c>
      <c r="B113" s="0" t="n">
        <v>0.77297799686731</v>
      </c>
      <c r="C113" s="0" t="n">
        <v>5.314200766986E-020</v>
      </c>
      <c r="D113" s="0" t="n">
        <v>0.114872076102235</v>
      </c>
      <c r="E113" s="0" t="n">
        <v>0.112149927030452</v>
      </c>
      <c r="F113" s="0" t="n">
        <v>2176</v>
      </c>
      <c r="G113" s="0" t="s">
        <v>158</v>
      </c>
      <c r="H113" s="0" t="s">
        <v>13</v>
      </c>
      <c r="I113" s="0" t="s">
        <v>251</v>
      </c>
    </row>
    <row r="114" customFormat="false" ht="15" hidden="false" customHeight="false" outlineLevel="0" collapsed="false">
      <c r="A114" s="0" t="n">
        <v>1.63457534351698E-020</v>
      </c>
      <c r="B114" s="0" t="n">
        <v>0.832982748109103</v>
      </c>
      <c r="C114" s="0" t="n">
        <v>3.17333494366035E-021</v>
      </c>
      <c r="D114" s="0" t="n">
        <v>0.16170313261835</v>
      </c>
      <c r="E114" s="0" t="n">
        <v>0.0053141192725493</v>
      </c>
      <c r="F114" s="0" t="n">
        <v>4282</v>
      </c>
      <c r="G114" s="0" t="s">
        <v>158</v>
      </c>
      <c r="H114" s="0" t="s">
        <v>13</v>
      </c>
      <c r="I114" s="0" t="s">
        <v>252</v>
      </c>
    </row>
    <row r="115" customFormat="false" ht="15" hidden="false" customHeight="false" outlineLevel="0" collapsed="false">
      <c r="A115" s="0" t="n">
        <v>8.29941052304428E-005</v>
      </c>
      <c r="B115" s="0" t="n">
        <v>0.831912161938786</v>
      </c>
      <c r="C115" s="0" t="n">
        <v>1.58653716447465E-005</v>
      </c>
      <c r="D115" s="0" t="n">
        <v>0.159012566129369</v>
      </c>
      <c r="E115" s="0" t="n">
        <v>0.0089764124549701</v>
      </c>
      <c r="F115" s="0" t="n">
        <v>3587</v>
      </c>
      <c r="G115" s="0" t="s">
        <v>158</v>
      </c>
      <c r="H115" s="0" t="s">
        <v>13</v>
      </c>
      <c r="I115" s="0" t="s">
        <v>253</v>
      </c>
    </row>
    <row r="116" customFormat="false" ht="15" hidden="false" customHeight="false" outlineLevel="0" collapsed="false">
      <c r="A116" s="0" t="n">
        <v>1.22019699917862E-008</v>
      </c>
      <c r="B116" s="0" t="n">
        <v>0.853943972187233</v>
      </c>
      <c r="C116" s="0" t="n">
        <v>1.97195189072662E-009</v>
      </c>
      <c r="D116" s="0" t="n">
        <v>0.137989158193841</v>
      </c>
      <c r="E116" s="0" t="n">
        <v>0.0080668554450024</v>
      </c>
      <c r="F116" s="0" t="n">
        <v>3510</v>
      </c>
      <c r="G116" s="0" t="s">
        <v>158</v>
      </c>
      <c r="H116" s="0" t="s">
        <v>13</v>
      </c>
      <c r="I116" s="0" t="s">
        <v>254</v>
      </c>
    </row>
    <row r="117" customFormat="false" ht="15" hidden="false" customHeight="false" outlineLevel="0" collapsed="false">
      <c r="A117" s="0" t="n">
        <v>0.0005564203269071</v>
      </c>
      <c r="B117" s="0" t="n">
        <v>0.864335019811662</v>
      </c>
      <c r="C117" s="0" t="n">
        <v>7.43122483133585E-005</v>
      </c>
      <c r="D117" s="0" t="n">
        <v>0.115396259917412</v>
      </c>
      <c r="E117" s="0" t="n">
        <v>0.0196379876957057</v>
      </c>
      <c r="F117" s="0" t="n">
        <v>2665</v>
      </c>
      <c r="G117" s="0" t="s">
        <v>158</v>
      </c>
      <c r="H117" s="0" t="s">
        <v>13</v>
      </c>
      <c r="I117" s="0" t="s">
        <v>255</v>
      </c>
    </row>
    <row r="118" customFormat="false" ht="15" hidden="false" customHeight="false" outlineLevel="0" collapsed="false">
      <c r="A118" s="0" t="n">
        <v>4.57423964721346E-015</v>
      </c>
      <c r="B118" s="0" t="n">
        <v>0.0879693230671894</v>
      </c>
      <c r="C118" s="0" t="n">
        <v>4.34767168323325E-014</v>
      </c>
      <c r="D118" s="0" t="n">
        <v>0.835968771440765</v>
      </c>
      <c r="E118" s="0" t="n">
        <v>0.0760619054919951</v>
      </c>
      <c r="F118" s="0" t="n">
        <v>5995</v>
      </c>
      <c r="G118" s="0" t="s">
        <v>158</v>
      </c>
      <c r="H118" s="0" t="s">
        <v>13</v>
      </c>
      <c r="I118" s="0" t="s">
        <v>256</v>
      </c>
    </row>
    <row r="119" customFormat="false" ht="15" hidden="false" customHeight="false" outlineLevel="0" collapsed="false">
      <c r="A119" s="0" t="n">
        <v>0.0024489644553222</v>
      </c>
      <c r="B119" s="0" t="n">
        <v>0.846803269402319</v>
      </c>
      <c r="C119" s="0" t="n">
        <v>0.0003792256485064</v>
      </c>
      <c r="D119" s="0" t="n">
        <v>0.131090140596604</v>
      </c>
      <c r="E119" s="0" t="n">
        <v>0.0192783998972487</v>
      </c>
      <c r="F119" s="0" t="n">
        <v>3513</v>
      </c>
      <c r="G119" s="0" t="s">
        <v>158</v>
      </c>
      <c r="H119" s="0" t="s">
        <v>13</v>
      </c>
      <c r="I119" s="0" t="s">
        <v>257</v>
      </c>
    </row>
    <row r="120" customFormat="false" ht="15" hidden="false" customHeight="false" outlineLevel="0" collapsed="false">
      <c r="A120" s="0" t="n">
        <v>0.0001563782372751</v>
      </c>
      <c r="B120" s="0" t="n">
        <v>2.17324394007634E-005</v>
      </c>
      <c r="C120" s="0" t="n">
        <v>0.875538212122034</v>
      </c>
      <c r="D120" s="0" t="n">
        <v>0.121671432502973</v>
      </c>
      <c r="E120" s="0" t="n">
        <v>0.0026122446983177</v>
      </c>
      <c r="F120" s="0" t="n">
        <v>3909</v>
      </c>
      <c r="G120" s="0" t="s">
        <v>158</v>
      </c>
      <c r="H120" s="0" t="s">
        <v>13</v>
      </c>
      <c r="I120" s="0" t="s">
        <v>191</v>
      </c>
    </row>
    <row r="121" customFormat="false" ht="15" hidden="false" customHeight="false" outlineLevel="0" collapsed="false">
      <c r="A121" s="0" t="n">
        <v>0.0005015030325969</v>
      </c>
      <c r="B121" s="0" t="n">
        <v>0.770810073670438</v>
      </c>
      <c r="C121" s="0" t="n">
        <v>0.0001418564400273</v>
      </c>
      <c r="D121" s="0" t="n">
        <v>0.218012254967318</v>
      </c>
      <c r="E121" s="0" t="n">
        <v>0.0105343118896199</v>
      </c>
      <c r="F121" s="0" t="n">
        <v>4891</v>
      </c>
      <c r="G121" s="0" t="s">
        <v>158</v>
      </c>
      <c r="H121" s="0" t="s">
        <v>13</v>
      </c>
      <c r="I121" s="0" t="s">
        <v>258</v>
      </c>
    </row>
    <row r="122" customFormat="false" ht="15" hidden="false" customHeight="false" outlineLevel="0" collapsed="false">
      <c r="A122" s="0" t="n">
        <v>4.8311423835921E-014</v>
      </c>
      <c r="B122" s="0" t="n">
        <v>0.850352215272482</v>
      </c>
      <c r="C122" s="0" t="n">
        <v>8.24853143684813E-015</v>
      </c>
      <c r="D122" s="0" t="n">
        <v>0.145177361339028</v>
      </c>
      <c r="E122" s="0" t="n">
        <v>0.0044704233884329</v>
      </c>
      <c r="F122" s="0" t="n">
        <v>3766</v>
      </c>
      <c r="G122" s="0" t="s">
        <v>158</v>
      </c>
      <c r="H122" s="0" t="s">
        <v>13</v>
      </c>
      <c r="I122" s="0" t="s">
        <v>259</v>
      </c>
    </row>
    <row r="123" customFormat="false" ht="15" hidden="false" customHeight="false" outlineLevel="0" collapsed="false">
      <c r="A123" s="0" t="n">
        <v>0.0001425409372226</v>
      </c>
      <c r="B123" s="0" t="n">
        <v>0.834161031398996</v>
      </c>
      <c r="C123" s="0" t="n">
        <v>2.75156580146038E-005</v>
      </c>
      <c r="D123" s="0" t="n">
        <v>0.161014535458307</v>
      </c>
      <c r="E123" s="0" t="n">
        <v>0.0046543765474589</v>
      </c>
      <c r="F123" s="0" t="n">
        <v>3784</v>
      </c>
      <c r="G123" s="0" t="s">
        <v>158</v>
      </c>
      <c r="H123" s="0" t="s">
        <v>13</v>
      </c>
      <c r="I123" s="0" t="s">
        <v>260</v>
      </c>
    </row>
    <row r="124" customFormat="false" ht="15" hidden="false" customHeight="false" outlineLevel="0" collapsed="false">
      <c r="A124" s="0" t="n">
        <v>0.0001226350426759</v>
      </c>
      <c r="B124" s="0" t="n">
        <v>0.789821611261116</v>
      </c>
      <c r="C124" s="0" t="n">
        <v>3.17789325743378E-005</v>
      </c>
      <c r="D124" s="0" t="n">
        <v>0.204659054442338</v>
      </c>
      <c r="E124" s="0" t="n">
        <v>0.0053649203212961</v>
      </c>
      <c r="F124" s="0" t="n">
        <v>4413</v>
      </c>
      <c r="G124" s="0" t="s">
        <v>158</v>
      </c>
      <c r="H124" s="0" t="s">
        <v>13</v>
      </c>
      <c r="I124" s="0" t="s">
        <v>230</v>
      </c>
    </row>
    <row r="125" customFormat="false" ht="15" hidden="false" customHeight="false" outlineLevel="0" collapsed="false">
      <c r="A125" s="0" t="n">
        <v>7.86435120377215E-005</v>
      </c>
      <c r="B125" s="0" t="n">
        <v>1.38957928047427E-005</v>
      </c>
      <c r="C125" s="0" t="n">
        <v>0.846876891558898</v>
      </c>
      <c r="D125" s="0" t="n">
        <v>0.1496307930643</v>
      </c>
      <c r="E125" s="0" t="n">
        <v>0.0033997760719599</v>
      </c>
      <c r="F125" s="0" t="n">
        <v>4779</v>
      </c>
      <c r="G125" s="0" t="s">
        <v>158</v>
      </c>
      <c r="H125" s="0" t="s">
        <v>13</v>
      </c>
      <c r="I125" s="0" t="s">
        <v>190</v>
      </c>
    </row>
    <row r="126" customFormat="false" ht="15" hidden="false" customHeight="false" outlineLevel="0" collapsed="false">
      <c r="A126" s="0" t="n">
        <v>1.299779596231E-005</v>
      </c>
      <c r="B126" s="0" t="n">
        <v>0.834321680319322</v>
      </c>
      <c r="C126" s="0" t="n">
        <v>2.49794117561818E-006</v>
      </c>
      <c r="D126" s="0" t="n">
        <v>0.160330865140385</v>
      </c>
      <c r="E126" s="0" t="n">
        <v>0.0053319588031551</v>
      </c>
      <c r="F126" s="0" t="n">
        <v>3453</v>
      </c>
      <c r="G126" s="0" t="s">
        <v>158</v>
      </c>
      <c r="H126" s="0" t="s">
        <v>13</v>
      </c>
      <c r="I126" s="0" t="s">
        <v>261</v>
      </c>
    </row>
    <row r="127" customFormat="false" ht="15" hidden="false" customHeight="false" outlineLevel="0" collapsed="false">
      <c r="A127" s="0" t="n">
        <v>3.33920031027158E-005</v>
      </c>
      <c r="B127" s="0" t="n">
        <v>0.798212717717516</v>
      </c>
      <c r="C127" s="0" t="n">
        <v>8.25929880677872E-006</v>
      </c>
      <c r="D127" s="0" t="n">
        <v>0.197424177361747</v>
      </c>
      <c r="E127" s="0" t="n">
        <v>0.0043214536188284</v>
      </c>
      <c r="F127" s="0" t="n">
        <v>4190</v>
      </c>
      <c r="G127" s="0" t="s">
        <v>158</v>
      </c>
      <c r="H127" s="0" t="s">
        <v>13</v>
      </c>
      <c r="I127" s="0" t="s">
        <v>262</v>
      </c>
    </row>
    <row r="128" customFormat="false" ht="15" hidden="false" customHeight="false" outlineLevel="0" collapsed="false">
      <c r="A128" s="0" t="n">
        <v>5.09773099744011E-016</v>
      </c>
      <c r="B128" s="0" t="n">
        <v>0.845083722907491</v>
      </c>
      <c r="C128" s="0" t="n">
        <v>9.03258050693063E-017</v>
      </c>
      <c r="D128" s="0" t="n">
        <v>0.14972853317745</v>
      </c>
      <c r="E128" s="0" t="n">
        <v>0.0051877439150552</v>
      </c>
      <c r="F128" s="0" t="n">
        <v>3519</v>
      </c>
      <c r="G128" s="0" t="s">
        <v>158</v>
      </c>
      <c r="H128" s="0" t="s">
        <v>13</v>
      </c>
      <c r="I128" s="0" t="s">
        <v>263</v>
      </c>
    </row>
    <row r="129" customFormat="false" ht="15" hidden="false" customHeight="false" outlineLevel="0" collapsed="false">
      <c r="A129" s="0" t="n">
        <v>6.61328549995009E-020</v>
      </c>
      <c r="B129" s="0" t="n">
        <v>0.86277947395797</v>
      </c>
      <c r="C129" s="0" t="n">
        <v>9.61526858653034E-021</v>
      </c>
      <c r="D129" s="0" t="n">
        <v>0.125418680224793</v>
      </c>
      <c r="E129" s="0" t="n">
        <v>0.0118018458172398</v>
      </c>
      <c r="F129" s="0" t="n">
        <v>2553</v>
      </c>
      <c r="G129" s="0" t="s">
        <v>158</v>
      </c>
      <c r="H129" s="0" t="s">
        <v>13</v>
      </c>
      <c r="I129" s="0" t="s">
        <v>264</v>
      </c>
    </row>
    <row r="130" customFormat="false" ht="15" hidden="false" customHeight="false" outlineLevel="0" collapsed="false">
      <c r="A130" s="0" t="n">
        <v>3.71027146529637E-108</v>
      </c>
      <c r="B130" s="0" t="n">
        <v>3.00244266439433E-109</v>
      </c>
      <c r="C130" s="0" t="n">
        <v>0.922204733793319</v>
      </c>
      <c r="D130" s="0" t="n">
        <v>0.0746207196792925</v>
      </c>
      <c r="E130" s="0" t="n">
        <v>0.0031745465273906</v>
      </c>
      <c r="F130" s="0" t="n">
        <v>2166</v>
      </c>
      <c r="G130" s="0" t="s">
        <v>158</v>
      </c>
      <c r="H130" s="0" t="s">
        <v>13</v>
      </c>
      <c r="I130" s="0" t="s">
        <v>175</v>
      </c>
    </row>
    <row r="131" customFormat="false" ht="15" hidden="false" customHeight="false" outlineLevel="0" collapsed="false">
      <c r="A131" s="0" t="n">
        <v>0.0128007042859628</v>
      </c>
      <c r="B131" s="0" t="n">
        <v>0.840835600680596</v>
      </c>
      <c r="C131" s="0" t="n">
        <v>0.0020622378948913</v>
      </c>
      <c r="D131" s="0" t="n">
        <v>0.135443818741982</v>
      </c>
      <c r="E131" s="0" t="n">
        <v>0.0088576383965682</v>
      </c>
      <c r="F131" s="0" t="n">
        <v>2669</v>
      </c>
      <c r="G131" s="0" t="s">
        <v>158</v>
      </c>
      <c r="H131" s="0" t="s">
        <v>13</v>
      </c>
      <c r="I131" s="0" t="s">
        <v>207</v>
      </c>
    </row>
    <row r="132" customFormat="false" ht="15" hidden="false" customHeight="false" outlineLevel="0" collapsed="false">
      <c r="A132" s="0" t="n">
        <v>0.0046336544795977</v>
      </c>
      <c r="B132" s="0" t="n">
        <v>0.0012489268623756</v>
      </c>
      <c r="C132" s="0" t="n">
        <v>0.520878609896041</v>
      </c>
      <c r="D132" s="0" t="n">
        <v>0.139727409025435</v>
      </c>
      <c r="E132" s="0" t="n">
        <v>0.333511399736551</v>
      </c>
      <c r="F132" s="0" t="n">
        <v>3160</v>
      </c>
      <c r="G132" s="0" t="s">
        <v>158</v>
      </c>
      <c r="H132" s="0" t="s">
        <v>13</v>
      </c>
      <c r="I132" s="0" t="s">
        <v>176</v>
      </c>
    </row>
    <row r="133" customFormat="false" ht="15" hidden="false" customHeight="false" outlineLevel="0" collapsed="false">
      <c r="A133" s="0" t="n">
        <v>1.94241906180953E-029</v>
      </c>
      <c r="B133" s="0" t="n">
        <v>0.85964751381917</v>
      </c>
      <c r="C133" s="0" t="n">
        <v>2.98909481329804E-030</v>
      </c>
      <c r="D133" s="0" t="n">
        <v>0.132270837759856</v>
      </c>
      <c r="E133" s="0" t="n">
        <v>0.0080816484209676</v>
      </c>
      <c r="F133" s="0" t="n">
        <v>3277</v>
      </c>
      <c r="G133" s="0" t="s">
        <v>158</v>
      </c>
      <c r="H133" s="0" t="s">
        <v>13</v>
      </c>
      <c r="I133" s="0" t="s">
        <v>265</v>
      </c>
    </row>
    <row r="134" customFormat="false" ht="15" hidden="false" customHeight="false" outlineLevel="0" collapsed="false">
      <c r="A134" s="0" t="n">
        <v>5.93775738913263E-006</v>
      </c>
      <c r="B134" s="0" t="n">
        <v>0.508633164736891</v>
      </c>
      <c r="C134" s="0" t="n">
        <v>2.28890268789221E-006</v>
      </c>
      <c r="D134" s="0" t="n">
        <v>0.195477518124794</v>
      </c>
      <c r="E134" s="0" t="n">
        <v>0.295881090478239</v>
      </c>
      <c r="F134" s="0" t="n">
        <v>4506</v>
      </c>
      <c r="G134" s="0" t="s">
        <v>158</v>
      </c>
      <c r="H134" s="0" t="s">
        <v>13</v>
      </c>
      <c r="I134" s="0" t="s">
        <v>266</v>
      </c>
    </row>
    <row r="135" customFormat="false" ht="15" hidden="false" customHeight="false" outlineLevel="0" collapsed="false">
      <c r="A135" s="0" t="n">
        <v>4.35683703379014E-010</v>
      </c>
      <c r="B135" s="0" t="n">
        <v>0.739515466443472</v>
      </c>
      <c r="C135" s="0" t="n">
        <v>1.50657528057268E-010</v>
      </c>
      <c r="D135" s="0" t="n">
        <v>0.25571168341827</v>
      </c>
      <c r="E135" s="0" t="n">
        <v>0.004772849551918</v>
      </c>
      <c r="F135" s="0" t="n">
        <v>3698</v>
      </c>
      <c r="G135" s="0" t="s">
        <v>158</v>
      </c>
      <c r="H135" s="0" t="s">
        <v>13</v>
      </c>
      <c r="I135" s="0" t="s">
        <v>267</v>
      </c>
    </row>
    <row r="136" customFormat="false" ht="15" hidden="false" customHeight="false" outlineLevel="0" collapsed="false">
      <c r="A136" s="0" t="n">
        <v>2.4758296891524E-006</v>
      </c>
      <c r="B136" s="0" t="n">
        <v>0.847660381465646</v>
      </c>
      <c r="C136" s="0" t="n">
        <v>4.29378207547155E-007</v>
      </c>
      <c r="D136" s="0" t="n">
        <v>0.146997371505408</v>
      </c>
      <c r="E136" s="0" t="n">
        <v>0.0053393418210489</v>
      </c>
      <c r="F136" s="0" t="n">
        <v>3929</v>
      </c>
      <c r="G136" s="0" t="s">
        <v>158</v>
      </c>
      <c r="H136" s="0" t="s">
        <v>13</v>
      </c>
      <c r="I136" s="0" t="s">
        <v>268</v>
      </c>
    </row>
    <row r="137" customFormat="false" ht="15" hidden="false" customHeight="false" outlineLevel="0" collapsed="false">
      <c r="A137" s="0" t="n">
        <v>7.9829061403373E-008</v>
      </c>
      <c r="B137" s="0" t="n">
        <v>0.87306081871661</v>
      </c>
      <c r="C137" s="0" t="n">
        <v>1.12042830168241E-008</v>
      </c>
      <c r="D137" s="0" t="n">
        <v>0.122528263611611</v>
      </c>
      <c r="E137" s="0" t="n">
        <v>0.0044108266384357</v>
      </c>
      <c r="F137" s="0" t="n">
        <v>3501</v>
      </c>
      <c r="G137" s="0" t="s">
        <v>158</v>
      </c>
      <c r="H137" s="0" t="s">
        <v>13</v>
      </c>
      <c r="I137" s="0" t="s">
        <v>269</v>
      </c>
    </row>
    <row r="138" customFormat="false" ht="15" hidden="false" customHeight="false" outlineLevel="0" collapsed="false">
      <c r="A138" s="0" t="n">
        <v>5.83052460853715E-007</v>
      </c>
      <c r="B138" s="0" t="n">
        <v>0.845423143436903</v>
      </c>
      <c r="C138" s="0" t="n">
        <v>9.61787235129774E-008</v>
      </c>
      <c r="D138" s="0" t="n">
        <v>0.139428371014089</v>
      </c>
      <c r="E138" s="0" t="n">
        <v>0.0151478063178238</v>
      </c>
      <c r="F138" s="0" t="n">
        <v>2724</v>
      </c>
      <c r="G138" s="0" t="s">
        <v>158</v>
      </c>
      <c r="H138" s="0" t="s">
        <v>13</v>
      </c>
      <c r="I138" s="0" t="s">
        <v>270</v>
      </c>
    </row>
    <row r="139" customFormat="false" ht="15" hidden="false" customHeight="false" outlineLevel="0" collapsed="false">
      <c r="A139" s="0" t="n">
        <v>8.85387477199004E-005</v>
      </c>
      <c r="B139" s="0" t="n">
        <v>0.85061980693129</v>
      </c>
      <c r="C139" s="0" t="n">
        <v>1.18825464444242E-005</v>
      </c>
      <c r="D139" s="0" t="n">
        <v>0.11408900769637</v>
      </c>
      <c r="E139" s="0" t="n">
        <v>0.0351907640781748</v>
      </c>
      <c r="F139" s="0" t="n">
        <v>3465</v>
      </c>
      <c r="G139" s="0" t="s">
        <v>158</v>
      </c>
      <c r="H139" s="0" t="s">
        <v>13</v>
      </c>
      <c r="I139" s="0" t="s">
        <v>271</v>
      </c>
    </row>
    <row r="140" customFormat="false" ht="15" hidden="false" customHeight="false" outlineLevel="0" collapsed="false">
      <c r="A140" s="0" t="n">
        <v>0.0006869540608432</v>
      </c>
      <c r="B140" s="0" t="n">
        <v>0.776690932252967</v>
      </c>
      <c r="C140" s="0" t="n">
        <v>0.0001890987911527</v>
      </c>
      <c r="D140" s="0" t="n">
        <v>0.213783484368345</v>
      </c>
      <c r="E140" s="0" t="n">
        <v>0.0086495305266922</v>
      </c>
      <c r="F140" s="0" t="n">
        <v>3989</v>
      </c>
      <c r="G140" s="0" t="s">
        <v>158</v>
      </c>
      <c r="H140" s="0" t="s">
        <v>13</v>
      </c>
      <c r="I140" s="0" t="s">
        <v>272</v>
      </c>
    </row>
    <row r="141" customFormat="false" ht="15" hidden="false" customHeight="false" outlineLevel="0" collapsed="false">
      <c r="A141" s="0" t="n">
        <v>0.0080145610630294</v>
      </c>
      <c r="B141" s="0" t="n">
        <v>0.799464188876127</v>
      </c>
      <c r="C141" s="0" t="n">
        <v>0.0018149262275458</v>
      </c>
      <c r="D141" s="0" t="n">
        <v>0.181022177584313</v>
      </c>
      <c r="E141" s="0" t="n">
        <v>0.0096841462489838</v>
      </c>
      <c r="F141" s="0" t="n">
        <v>3651</v>
      </c>
      <c r="G141" s="0" t="s">
        <v>158</v>
      </c>
      <c r="H141" s="0" t="s">
        <v>13</v>
      </c>
      <c r="I141" s="0" t="s">
        <v>273</v>
      </c>
    </row>
    <row r="142" customFormat="false" ht="15" hidden="false" customHeight="false" outlineLevel="0" collapsed="false">
      <c r="A142" s="0" t="n">
        <v>0.009635333126286</v>
      </c>
      <c r="B142" s="0" t="n">
        <v>0.741050252848492</v>
      </c>
      <c r="C142" s="0" t="n">
        <v>0.0030820945274899</v>
      </c>
      <c r="D142" s="0" t="n">
        <v>0.237024445038991</v>
      </c>
      <c r="E142" s="0" t="n">
        <v>0.009207874458741</v>
      </c>
      <c r="F142" s="0" t="n">
        <v>4290</v>
      </c>
      <c r="G142" s="0" t="s">
        <v>158</v>
      </c>
      <c r="H142" s="0" t="s">
        <v>13</v>
      </c>
      <c r="I142" s="0" t="s">
        <v>274</v>
      </c>
    </row>
    <row r="143" customFormat="false" ht="15" hidden="false" customHeight="false" outlineLevel="0" collapsed="false">
      <c r="A143" s="0" t="n">
        <v>0.0010672398286494</v>
      </c>
      <c r="B143" s="0" t="n">
        <v>0.798830082944484</v>
      </c>
      <c r="C143" s="0" t="n">
        <v>0.0002555042514928</v>
      </c>
      <c r="D143" s="0" t="n">
        <v>0.191227950249356</v>
      </c>
      <c r="E143" s="0" t="n">
        <v>0.0086192227260176</v>
      </c>
      <c r="F143" s="0" t="n">
        <v>3564</v>
      </c>
      <c r="G143" s="0" t="s">
        <v>158</v>
      </c>
      <c r="H143" s="0" t="s">
        <v>13</v>
      </c>
      <c r="I143" s="0" t="s">
        <v>275</v>
      </c>
    </row>
    <row r="144" customFormat="false" ht="15" hidden="false" customHeight="false" outlineLevel="0" collapsed="false">
      <c r="A144" s="0" t="n">
        <v>0.0009573774167982</v>
      </c>
      <c r="B144" s="0" t="n">
        <v>0.87809961638497</v>
      </c>
      <c r="C144" s="0" t="n">
        <v>0.0001261893765439</v>
      </c>
      <c r="D144" s="0" t="n">
        <v>0.115729806043681</v>
      </c>
      <c r="E144" s="0" t="n">
        <v>0.0050870107780071</v>
      </c>
      <c r="F144" s="0" t="n">
        <v>3138</v>
      </c>
      <c r="G144" s="0" t="s">
        <v>158</v>
      </c>
      <c r="H144" s="0" t="s">
        <v>13</v>
      </c>
      <c r="I144" s="0" t="s">
        <v>276</v>
      </c>
    </row>
    <row r="145" customFormat="false" ht="15" hidden="false" customHeight="false" outlineLevel="0" collapsed="false">
      <c r="A145" s="0" t="n">
        <v>6.27350084339798E-005</v>
      </c>
      <c r="B145" s="0" t="n">
        <v>0.723020691123789</v>
      </c>
      <c r="C145" s="0" t="n">
        <v>2.23448360523487E-005</v>
      </c>
      <c r="D145" s="0" t="n">
        <v>0.257485317566622</v>
      </c>
      <c r="E145" s="0" t="n">
        <v>0.0194089114651023</v>
      </c>
      <c r="F145" s="0" t="n">
        <v>3049</v>
      </c>
      <c r="G145" s="0" t="s">
        <v>158</v>
      </c>
      <c r="H145" s="0" t="s">
        <v>13</v>
      </c>
      <c r="I145" s="0" t="s">
        <v>277</v>
      </c>
    </row>
    <row r="146" customFormat="false" ht="15" hidden="false" customHeight="false" outlineLevel="0" collapsed="false">
      <c r="A146" s="0" t="n">
        <v>7.22057830393099E-008</v>
      </c>
      <c r="B146" s="0" t="n">
        <v>0.752943900523498</v>
      </c>
      <c r="C146" s="0" t="n">
        <v>2.30883289742712E-008</v>
      </c>
      <c r="D146" s="0" t="n">
        <v>0.240746718738607</v>
      </c>
      <c r="E146" s="0" t="n">
        <v>0.0063092854437842</v>
      </c>
      <c r="F146" s="0" t="n">
        <v>4421</v>
      </c>
      <c r="G146" s="0" t="s">
        <v>158</v>
      </c>
      <c r="H146" s="0" t="s">
        <v>13</v>
      </c>
      <c r="I146" s="0" t="s">
        <v>278</v>
      </c>
    </row>
    <row r="147" customFormat="false" ht="15" hidden="false" customHeight="false" outlineLevel="0" collapsed="false">
      <c r="A147" s="0" t="n">
        <v>0.0005692489139274</v>
      </c>
      <c r="B147" s="0" t="n">
        <v>0.869001806893728</v>
      </c>
      <c r="C147" s="0" t="n">
        <v>8.01344744836244E-005</v>
      </c>
      <c r="D147" s="0" t="n">
        <v>0.122315309339165</v>
      </c>
      <c r="E147" s="0" t="n">
        <v>0.0080335003786964</v>
      </c>
      <c r="F147" s="0" t="n">
        <v>2999</v>
      </c>
      <c r="G147" s="0" t="s">
        <v>158</v>
      </c>
      <c r="H147" s="0" t="s">
        <v>13</v>
      </c>
      <c r="I147" s="0" t="s">
        <v>279</v>
      </c>
    </row>
    <row r="148" customFormat="false" ht="15" hidden="false" customHeight="false" outlineLevel="0" collapsed="false">
      <c r="A148" s="0" t="n">
        <v>5.02536276494753E-189</v>
      </c>
      <c r="B148" s="0" t="n">
        <v>0.0211810971734506</v>
      </c>
      <c r="C148" s="0" t="n">
        <v>4.22756743344637E-189</v>
      </c>
      <c r="D148" s="0" t="n">
        <v>0.0158926654718415</v>
      </c>
      <c r="E148" s="0" t="n">
        <v>0.962926237354723</v>
      </c>
      <c r="F148" s="0" t="n">
        <v>3915</v>
      </c>
      <c r="G148" s="0" t="s">
        <v>158</v>
      </c>
      <c r="H148" s="0" t="s">
        <v>13</v>
      </c>
      <c r="I148" s="0" t="s">
        <v>280</v>
      </c>
    </row>
    <row r="149" customFormat="false" ht="15" hidden="false" customHeight="false" outlineLevel="0" collapsed="false">
      <c r="A149" s="0" t="n">
        <v>6.01109194690825E-008</v>
      </c>
      <c r="B149" s="0" t="n">
        <v>0.730583287518387</v>
      </c>
      <c r="C149" s="0" t="n">
        <v>2.12335648133345E-008</v>
      </c>
      <c r="D149" s="0" t="n">
        <v>0.258048304749937</v>
      </c>
      <c r="E149" s="0" t="n">
        <v>0.0113683263871904</v>
      </c>
      <c r="F149" s="0" t="n">
        <v>3257</v>
      </c>
      <c r="G149" s="0" t="s">
        <v>158</v>
      </c>
      <c r="H149" s="0" t="s">
        <v>13</v>
      </c>
      <c r="I149" s="0" t="s">
        <v>281</v>
      </c>
    </row>
    <row r="150" customFormat="false" ht="15" hidden="false" customHeight="false" outlineLevel="0" collapsed="false">
      <c r="A150" s="0" t="n">
        <v>3.33919030491022E-013</v>
      </c>
      <c r="B150" s="0" t="n">
        <v>9.60347561024927E-014</v>
      </c>
      <c r="C150" s="0" t="n">
        <v>0.772728767714846</v>
      </c>
      <c r="D150" s="0" t="n">
        <v>0.22222587658808</v>
      </c>
      <c r="E150" s="0" t="n">
        <v>0.005045355696644</v>
      </c>
      <c r="F150" s="0" t="n">
        <v>6105</v>
      </c>
      <c r="G150" s="0" t="s">
        <v>158</v>
      </c>
      <c r="H150" s="0" t="s">
        <v>13</v>
      </c>
      <c r="I150" s="0" t="s">
        <v>184</v>
      </c>
    </row>
    <row r="151" customFormat="false" ht="15" hidden="false" customHeight="false" outlineLevel="0" collapsed="false">
      <c r="A151" s="0" t="n">
        <v>0.0167356284035476</v>
      </c>
      <c r="B151" s="0" t="n">
        <v>0.002214429650261</v>
      </c>
      <c r="C151" s="0" t="n">
        <v>0.86428411067946</v>
      </c>
      <c r="D151" s="0" t="n">
        <v>0.114355771235584</v>
      </c>
      <c r="E151" s="0" t="n">
        <v>0.0024100600311468</v>
      </c>
      <c r="F151" s="0" t="n">
        <v>3219</v>
      </c>
      <c r="G151" s="0" t="s">
        <v>158</v>
      </c>
      <c r="H151" s="0" t="s">
        <v>13</v>
      </c>
      <c r="I151" s="0" t="s">
        <v>185</v>
      </c>
    </row>
    <row r="152" customFormat="false" ht="15" hidden="false" customHeight="false" outlineLevel="0" collapsed="false">
      <c r="A152" s="0" t="n">
        <v>1.71325931207086E-034</v>
      </c>
      <c r="B152" s="0" t="n">
        <v>0.892858333917804</v>
      </c>
      <c r="C152" s="0" t="n">
        <v>1.8755579005632E-035</v>
      </c>
      <c r="D152" s="0" t="n">
        <v>0.0977251272478169</v>
      </c>
      <c r="E152" s="0" t="n">
        <v>0.0094165388343844</v>
      </c>
      <c r="F152" s="0" t="n">
        <v>2431</v>
      </c>
      <c r="G152" s="0" t="s">
        <v>158</v>
      </c>
      <c r="H152" s="0" t="s">
        <v>13</v>
      </c>
      <c r="I152" s="0" t="s">
        <v>282</v>
      </c>
    </row>
    <row r="153" customFormat="false" ht="15" hidden="false" customHeight="false" outlineLevel="0" collapsed="false">
      <c r="A153" s="0" t="n">
        <v>1.90316358381126E-009</v>
      </c>
      <c r="B153" s="0" t="n">
        <v>0.829297408513129</v>
      </c>
      <c r="C153" s="0" t="n">
        <v>3.80176915380023E-010</v>
      </c>
      <c r="D153" s="0" t="n">
        <v>0.165650764066515</v>
      </c>
      <c r="E153" s="0" t="n">
        <v>0.0050518251370158</v>
      </c>
      <c r="F153" s="0" t="n">
        <v>3532</v>
      </c>
      <c r="G153" s="0" t="s">
        <v>158</v>
      </c>
      <c r="H153" s="0" t="s">
        <v>13</v>
      </c>
      <c r="I153" s="0" t="s">
        <v>283</v>
      </c>
    </row>
    <row r="154" customFormat="false" ht="15" hidden="false" customHeight="false" outlineLevel="0" collapsed="false">
      <c r="A154" s="0" t="n">
        <v>1.4870787431255E-006</v>
      </c>
      <c r="B154" s="0" t="n">
        <v>0.8163271391206</v>
      </c>
      <c r="C154" s="0" t="n">
        <v>3.18830021209843E-007</v>
      </c>
      <c r="D154" s="0" t="n">
        <v>0.175003389215304</v>
      </c>
      <c r="E154" s="0" t="n">
        <v>0.0086676657553317</v>
      </c>
      <c r="F154" s="0" t="n">
        <v>4576</v>
      </c>
      <c r="G154" s="0" t="s">
        <v>158</v>
      </c>
      <c r="H154" s="0" t="s">
        <v>13</v>
      </c>
      <c r="I154" s="0" t="s">
        <v>284</v>
      </c>
    </row>
    <row r="155" customFormat="false" ht="15" hidden="false" customHeight="false" outlineLevel="0" collapsed="false">
      <c r="A155" s="0" t="n">
        <v>2.30000852559306E-007</v>
      </c>
      <c r="B155" s="0" t="n">
        <v>0.823383670953312</v>
      </c>
      <c r="C155" s="0" t="n">
        <v>4.7381143024329E-008</v>
      </c>
      <c r="D155" s="0" t="n">
        <v>0.169606480273742</v>
      </c>
      <c r="E155" s="0" t="n">
        <v>0.0070095713909499</v>
      </c>
      <c r="F155" s="0" t="n">
        <v>4550</v>
      </c>
      <c r="G155" s="0" t="s">
        <v>158</v>
      </c>
      <c r="H155" s="0" t="s">
        <v>13</v>
      </c>
      <c r="I155" s="0" t="s">
        <v>285</v>
      </c>
    </row>
    <row r="156" customFormat="false" ht="15" hidden="false" customHeight="false" outlineLevel="0" collapsed="false">
      <c r="A156" s="0" t="n">
        <v>0.0017911292502447</v>
      </c>
      <c r="B156" s="0" t="n">
        <v>0.72765008734443</v>
      </c>
      <c r="C156" s="0" t="n">
        <v>0.0006400298516831</v>
      </c>
      <c r="D156" s="0" t="n">
        <v>0.259993645413167</v>
      </c>
      <c r="E156" s="0" t="n">
        <v>0.0099251081404752</v>
      </c>
      <c r="F156" s="0" t="n">
        <v>5216</v>
      </c>
      <c r="G156" s="0" t="s">
        <v>158</v>
      </c>
      <c r="H156" s="0" t="s">
        <v>13</v>
      </c>
      <c r="I156" s="0" t="s">
        <v>286</v>
      </c>
    </row>
    <row r="157" customFormat="false" ht="15" hidden="false" customHeight="false" outlineLevel="0" collapsed="false">
      <c r="A157" s="0" t="n">
        <v>0.0163152004935209</v>
      </c>
      <c r="B157" s="0" t="n">
        <v>0.0016246239405649</v>
      </c>
      <c r="C157" s="0" t="n">
        <v>0.890813144690546</v>
      </c>
      <c r="D157" s="0" t="n">
        <v>0.0886996908977006</v>
      </c>
      <c r="E157" s="0" t="n">
        <v>0.0025473399776669</v>
      </c>
      <c r="F157" s="0" t="n">
        <v>4272</v>
      </c>
      <c r="G157" s="0" t="s">
        <v>158</v>
      </c>
      <c r="H157" s="0" t="s">
        <v>13</v>
      </c>
      <c r="I157" s="0" t="s">
        <v>187</v>
      </c>
    </row>
    <row r="158" customFormat="false" ht="15" hidden="false" customHeight="false" outlineLevel="0" collapsed="false">
      <c r="A158" s="0" t="n">
        <v>0.0020662579391662</v>
      </c>
      <c r="B158" s="0" t="n">
        <v>0.628360692403661</v>
      </c>
      <c r="C158" s="0" t="n">
        <v>0.0011992029132772</v>
      </c>
      <c r="D158" s="0" t="n">
        <v>0.364676975345906</v>
      </c>
      <c r="E158" s="0" t="n">
        <v>0.0036968713979892</v>
      </c>
      <c r="F158" s="0" t="n">
        <v>3570</v>
      </c>
      <c r="G158" s="0" t="s">
        <v>158</v>
      </c>
      <c r="H158" s="0" t="s">
        <v>13</v>
      </c>
      <c r="I158" s="0" t="s">
        <v>242</v>
      </c>
    </row>
    <row r="159" customFormat="false" ht="15" hidden="false" customHeight="false" outlineLevel="0" collapsed="false">
      <c r="A159" s="0" t="n">
        <v>0.0003868745778641</v>
      </c>
      <c r="B159" s="0" t="n">
        <v>0.845862325945554</v>
      </c>
      <c r="C159" s="0" t="n">
        <v>6.80814111308496E-005</v>
      </c>
      <c r="D159" s="0" t="n">
        <v>0.148843474622122</v>
      </c>
      <c r="E159" s="0" t="n">
        <v>0.0048392434433287</v>
      </c>
      <c r="F159" s="0" t="n">
        <v>3505</v>
      </c>
      <c r="G159" s="0" t="s">
        <v>158</v>
      </c>
      <c r="H159" s="0" t="s">
        <v>13</v>
      </c>
      <c r="I159" s="0" t="s">
        <v>287</v>
      </c>
    </row>
    <row r="160" customFormat="false" ht="15" hidden="false" customHeight="false" outlineLevel="0" collapsed="false">
      <c r="A160" s="0" t="n">
        <v>0.0008019164492964</v>
      </c>
      <c r="B160" s="0" t="n">
        <v>0.755454775703521</v>
      </c>
      <c r="C160" s="0" t="n">
        <v>0.0002377488404447</v>
      </c>
      <c r="D160" s="0" t="n">
        <v>0.223934936215385</v>
      </c>
      <c r="E160" s="0" t="n">
        <v>0.0195706227913527</v>
      </c>
      <c r="F160" s="0" t="n">
        <v>3661</v>
      </c>
      <c r="G160" s="0" t="s">
        <v>158</v>
      </c>
      <c r="H160" s="0" t="s">
        <v>13</v>
      </c>
      <c r="I160" s="0" t="s">
        <v>288</v>
      </c>
    </row>
    <row r="161" customFormat="false" ht="15" hidden="false" customHeight="false" outlineLevel="0" collapsed="false">
      <c r="A161" s="0" t="n">
        <v>6.25195517981079E-010</v>
      </c>
      <c r="B161" s="0" t="n">
        <v>0.885384088002895</v>
      </c>
      <c r="C161" s="0" t="n">
        <v>7.71129257738257E-011</v>
      </c>
      <c r="D161" s="0" t="n">
        <v>0.109194286178671</v>
      </c>
      <c r="E161" s="0" t="n">
        <v>0.0054216251161271</v>
      </c>
      <c r="F161" s="0" t="n">
        <v>3040</v>
      </c>
      <c r="G161" s="0" t="s">
        <v>159</v>
      </c>
      <c r="H161" s="0" t="s">
        <v>13</v>
      </c>
      <c r="I161" s="0" t="s">
        <v>289</v>
      </c>
    </row>
    <row r="162" customFormat="false" ht="15" hidden="false" customHeight="false" outlineLevel="0" collapsed="false">
      <c r="A162" s="0" t="n">
        <v>3.89110052256665E-005</v>
      </c>
      <c r="B162" s="0" t="n">
        <v>0.886903624249241</v>
      </c>
      <c r="C162" s="0" t="n">
        <v>4.47183305501012E-006</v>
      </c>
      <c r="D162" s="0" t="n">
        <v>0.101904778457089</v>
      </c>
      <c r="E162" s="0" t="n">
        <v>0.0111482144553893</v>
      </c>
      <c r="F162" s="0" t="n">
        <v>2284</v>
      </c>
      <c r="G162" s="0" t="s">
        <v>159</v>
      </c>
      <c r="H162" s="0" t="s">
        <v>13</v>
      </c>
      <c r="I162" s="0" t="s">
        <v>290</v>
      </c>
    </row>
    <row r="163" customFormat="false" ht="15" hidden="false" customHeight="false" outlineLevel="0" collapsed="false">
      <c r="A163" s="0" t="n">
        <v>1.72398249883757E-008</v>
      </c>
      <c r="B163" s="0" t="n">
        <v>0.824943598150674</v>
      </c>
      <c r="C163" s="0" t="n">
        <v>3.18497181984581E-009</v>
      </c>
      <c r="D163" s="0" t="n">
        <v>0.152358826792274</v>
      </c>
      <c r="E163" s="0" t="n">
        <v>0.0226975546322565</v>
      </c>
      <c r="F163" s="0" t="n">
        <v>3829</v>
      </c>
      <c r="G163" s="0" t="s">
        <v>159</v>
      </c>
      <c r="H163" s="0" t="s">
        <v>13</v>
      </c>
      <c r="I163" s="0" t="s">
        <v>291</v>
      </c>
    </row>
    <row r="164" customFormat="false" ht="15" hidden="false" customHeight="false" outlineLevel="0" collapsed="false">
      <c r="A164" s="0" t="n">
        <v>2.47943604457569E-008</v>
      </c>
      <c r="B164" s="0" t="n">
        <v>0.822314129100309</v>
      </c>
      <c r="C164" s="0" t="n">
        <v>5.2080680065998E-009</v>
      </c>
      <c r="D164" s="0" t="n">
        <v>0.172717563980474</v>
      </c>
      <c r="E164" s="0" t="n">
        <v>0.0049682769167894</v>
      </c>
      <c r="F164" s="0" t="n">
        <v>3679</v>
      </c>
      <c r="G164" s="0" t="s">
        <v>159</v>
      </c>
      <c r="H164" s="0" t="s">
        <v>13</v>
      </c>
      <c r="I164" s="0" t="s">
        <v>292</v>
      </c>
    </row>
    <row r="165" customFormat="false" ht="15" hidden="false" customHeight="false" outlineLevel="0" collapsed="false">
      <c r="A165" s="0" t="n">
        <v>0.0005497118056262</v>
      </c>
      <c r="B165" s="0" t="n">
        <v>0.776457296824304</v>
      </c>
      <c r="C165" s="0" t="n">
        <v>0.0001550766697565</v>
      </c>
      <c r="D165" s="0" t="n">
        <v>0.219035192194199</v>
      </c>
      <c r="E165" s="0" t="n">
        <v>0.0038027225061134</v>
      </c>
      <c r="F165" s="0" t="n">
        <v>3925</v>
      </c>
      <c r="G165" s="0" t="s">
        <v>159</v>
      </c>
      <c r="H165" s="0" t="s">
        <v>13</v>
      </c>
      <c r="I165" s="0" t="s">
        <v>293</v>
      </c>
    </row>
    <row r="166" customFormat="false" ht="15" hidden="false" customHeight="false" outlineLevel="0" collapsed="false">
      <c r="A166" s="0" t="n">
        <v>6.63324582255078E-013</v>
      </c>
      <c r="B166" s="0" t="n">
        <v>0.835226269289209</v>
      </c>
      <c r="C166" s="0" t="n">
        <v>1.26684972649763E-013</v>
      </c>
      <c r="D166" s="0" t="n">
        <v>0.159505060168581</v>
      </c>
      <c r="E166" s="0" t="n">
        <v>0.0052686705414183</v>
      </c>
      <c r="F166" s="0" t="n">
        <v>4223</v>
      </c>
      <c r="G166" s="0" t="s">
        <v>159</v>
      </c>
      <c r="H166" s="0" t="s">
        <v>13</v>
      </c>
      <c r="I166" s="0" t="s">
        <v>294</v>
      </c>
    </row>
    <row r="167" customFormat="false" ht="15" hidden="false" customHeight="false" outlineLevel="0" collapsed="false">
      <c r="A167" s="0" t="n">
        <v>0.0141415752051964</v>
      </c>
      <c r="B167" s="0" t="n">
        <v>0.848801545956675</v>
      </c>
      <c r="C167" s="0" t="n">
        <v>0.0021049717999063</v>
      </c>
      <c r="D167" s="0" t="n">
        <v>0.126326759621343</v>
      </c>
      <c r="E167" s="0" t="n">
        <v>0.0086251474168793</v>
      </c>
      <c r="F167" s="0" t="n">
        <v>3851</v>
      </c>
      <c r="G167" s="0" t="s">
        <v>159</v>
      </c>
      <c r="H167" s="0" t="s">
        <v>13</v>
      </c>
      <c r="I167" s="0" t="s">
        <v>228</v>
      </c>
    </row>
    <row r="168" customFormat="false" ht="15" hidden="false" customHeight="false" outlineLevel="0" collapsed="false">
      <c r="A168" s="0" t="n">
        <v>4.5648465217893E-050</v>
      </c>
      <c r="B168" s="0" t="n">
        <v>0.83218883654253</v>
      </c>
      <c r="C168" s="0" t="n">
        <v>8.72628078443935E-051</v>
      </c>
      <c r="D168" s="0" t="n">
        <v>0.159065918309602</v>
      </c>
      <c r="E168" s="0" t="n">
        <v>0.0087452451478655</v>
      </c>
      <c r="F168" s="0" t="n">
        <v>3587</v>
      </c>
      <c r="G168" s="0" t="s">
        <v>159</v>
      </c>
      <c r="H168" s="0" t="s">
        <v>13</v>
      </c>
      <c r="I168" s="0" t="s">
        <v>253</v>
      </c>
    </row>
    <row r="169" customFormat="false" ht="15" hidden="false" customHeight="false" outlineLevel="0" collapsed="false">
      <c r="A169" s="0" t="n">
        <v>7.97998072149801E-010</v>
      </c>
      <c r="B169" s="0" t="n">
        <v>0.0672717018714115</v>
      </c>
      <c r="C169" s="0" t="n">
        <v>1.10529470696735E-008</v>
      </c>
      <c r="D169" s="0" t="n">
        <v>0.931767949482173</v>
      </c>
      <c r="E169" s="0" t="n">
        <v>0.0009603367954697</v>
      </c>
      <c r="F169" s="0" t="n">
        <v>2619</v>
      </c>
      <c r="G169" s="0" t="s">
        <v>159</v>
      </c>
      <c r="H169" s="0" t="s">
        <v>13</v>
      </c>
      <c r="I169" s="0" t="s">
        <v>199</v>
      </c>
    </row>
    <row r="170" customFormat="false" ht="15" hidden="false" customHeight="false" outlineLevel="0" collapsed="false">
      <c r="A170" s="0" t="n">
        <v>1.18621481426202E-005</v>
      </c>
      <c r="B170" s="0" t="n">
        <v>0.853865858572134</v>
      </c>
      <c r="C170" s="0" t="n">
        <v>1.92353134873421E-006</v>
      </c>
      <c r="D170" s="0" t="n">
        <v>0.138445046843941</v>
      </c>
      <c r="E170" s="0" t="n">
        <v>0.0076753089044337</v>
      </c>
      <c r="F170" s="0" t="n">
        <v>3531</v>
      </c>
      <c r="G170" s="0" t="s">
        <v>159</v>
      </c>
      <c r="H170" s="0" t="s">
        <v>13</v>
      </c>
      <c r="I170" s="0" t="s">
        <v>295</v>
      </c>
    </row>
    <row r="171" customFormat="false" ht="15" hidden="false" customHeight="false" outlineLevel="0" collapsed="false">
      <c r="A171" s="0" t="n">
        <v>1.43527151184312E-010</v>
      </c>
      <c r="B171" s="0" t="n">
        <v>0.0884430617076114</v>
      </c>
      <c r="C171" s="0" t="n">
        <v>1.35321171045421E-009</v>
      </c>
      <c r="D171" s="0" t="n">
        <v>0.833708738475844</v>
      </c>
      <c r="E171" s="0" t="n">
        <v>0.0778481983198078</v>
      </c>
      <c r="F171" s="0" t="n">
        <v>4499</v>
      </c>
      <c r="G171" s="0" t="s">
        <v>159</v>
      </c>
      <c r="H171" s="0" t="s">
        <v>13</v>
      </c>
      <c r="I171" s="0" t="s">
        <v>296</v>
      </c>
    </row>
    <row r="172" customFormat="false" ht="15" hidden="false" customHeight="false" outlineLevel="0" collapsed="false">
      <c r="A172" s="0" t="n">
        <v>8.71406992667517E-022</v>
      </c>
      <c r="B172" s="0" t="n">
        <v>0.854857294162827</v>
      </c>
      <c r="C172" s="0" t="n">
        <v>1.43408575469908E-022</v>
      </c>
      <c r="D172" s="0" t="n">
        <v>0.140676036851068</v>
      </c>
      <c r="E172" s="0" t="n">
        <v>0.0044666689861028</v>
      </c>
      <c r="F172" s="0" t="n">
        <v>3799</v>
      </c>
      <c r="G172" s="0" t="s">
        <v>159</v>
      </c>
      <c r="H172" s="0" t="s">
        <v>13</v>
      </c>
      <c r="I172" s="0" t="s">
        <v>203</v>
      </c>
    </row>
    <row r="173" customFormat="false" ht="15" hidden="false" customHeight="false" outlineLevel="0" collapsed="false">
      <c r="A173" s="0" t="n">
        <v>0.0011629300550178</v>
      </c>
      <c r="B173" s="0" t="n">
        <v>0.852888779249306</v>
      </c>
      <c r="C173" s="0" t="n">
        <v>0.0001893553830601</v>
      </c>
      <c r="D173" s="0" t="n">
        <v>0.138858766249705</v>
      </c>
      <c r="E173" s="0" t="n">
        <v>0.0069001690629111</v>
      </c>
      <c r="F173" s="0" t="n">
        <v>3376</v>
      </c>
      <c r="G173" s="0" t="s">
        <v>159</v>
      </c>
      <c r="H173" s="0" t="s">
        <v>13</v>
      </c>
      <c r="I173" s="0" t="s">
        <v>297</v>
      </c>
    </row>
    <row r="174" customFormat="false" ht="15" hidden="false" customHeight="false" outlineLevel="0" collapsed="false">
      <c r="A174" s="0" t="n">
        <v>5.86302602359677E-006</v>
      </c>
      <c r="B174" s="0" t="n">
        <v>0.79000699057372</v>
      </c>
      <c r="C174" s="0" t="n">
        <v>1.51931050554444E-006</v>
      </c>
      <c r="D174" s="0" t="n">
        <v>0.20470726567836</v>
      </c>
      <c r="E174" s="0" t="n">
        <v>0.0052783614113905</v>
      </c>
      <c r="F174" s="0" t="n">
        <v>4413</v>
      </c>
      <c r="G174" s="0" t="s">
        <v>159</v>
      </c>
      <c r="H174" s="0" t="s">
        <v>13</v>
      </c>
      <c r="I174" s="0" t="s">
        <v>230</v>
      </c>
    </row>
    <row r="175" customFormat="false" ht="15" hidden="false" customHeight="false" outlineLevel="0" collapsed="false">
      <c r="A175" s="0" t="n">
        <v>7.74825535491161E-005</v>
      </c>
      <c r="B175" s="0" t="n">
        <v>1.51160404548926E-005</v>
      </c>
      <c r="C175" s="0" t="n">
        <v>0.834375047597664</v>
      </c>
      <c r="D175" s="0" t="n">
        <v>0.16277237514708</v>
      </c>
      <c r="E175" s="0" t="n">
        <v>0.0027599786612521</v>
      </c>
      <c r="F175" s="0" t="n">
        <v>4779</v>
      </c>
      <c r="G175" s="0" t="s">
        <v>159</v>
      </c>
      <c r="H175" s="0" t="s">
        <v>13</v>
      </c>
      <c r="I175" s="0" t="s">
        <v>190</v>
      </c>
    </row>
    <row r="176" customFormat="false" ht="15" hidden="false" customHeight="false" outlineLevel="0" collapsed="false">
      <c r="A176" s="0" t="n">
        <v>1.3321449706865E-010</v>
      </c>
      <c r="B176" s="0" t="n">
        <v>0.835044436785558</v>
      </c>
      <c r="C176" s="0" t="n">
        <v>2.5609007545493E-011</v>
      </c>
      <c r="D176" s="0" t="n">
        <v>0.160519145910117</v>
      </c>
      <c r="E176" s="0" t="n">
        <v>0.004436417145502</v>
      </c>
      <c r="F176" s="0" t="n">
        <v>3455</v>
      </c>
      <c r="G176" s="0" t="s">
        <v>159</v>
      </c>
      <c r="H176" s="0" t="s">
        <v>13</v>
      </c>
      <c r="I176" s="0" t="s">
        <v>204</v>
      </c>
    </row>
    <row r="177" customFormat="false" ht="15" hidden="false" customHeight="false" outlineLevel="0" collapsed="false">
      <c r="A177" s="0" t="n">
        <v>2.11538752179438E-005</v>
      </c>
      <c r="B177" s="0" t="n">
        <v>0.792562360220348</v>
      </c>
      <c r="C177" s="0" t="n">
        <v>3.80122213832771E-006</v>
      </c>
      <c r="D177" s="0" t="n">
        <v>0.142288365380605</v>
      </c>
      <c r="E177" s="0" t="n">
        <v>0.0651243193016898</v>
      </c>
      <c r="F177" s="0" t="n">
        <v>2897</v>
      </c>
      <c r="G177" s="0" t="s">
        <v>159</v>
      </c>
      <c r="H177" s="0" t="s">
        <v>13</v>
      </c>
      <c r="I177" s="0" t="s">
        <v>298</v>
      </c>
    </row>
    <row r="178" customFormat="false" ht="15" hidden="false" customHeight="false" outlineLevel="0" collapsed="false">
      <c r="A178" s="0" t="n">
        <v>0.0133098833123048</v>
      </c>
      <c r="B178" s="0" t="n">
        <v>0.688038160584623</v>
      </c>
      <c r="C178" s="0" t="n">
        <v>0.0042116048126184</v>
      </c>
      <c r="D178" s="0" t="n">
        <v>0.217560005868207</v>
      </c>
      <c r="E178" s="0" t="n">
        <v>0.0768803454222456</v>
      </c>
      <c r="F178" s="0" t="n">
        <v>3337</v>
      </c>
      <c r="G178" s="0" t="s">
        <v>159</v>
      </c>
      <c r="H178" s="0" t="s">
        <v>13</v>
      </c>
      <c r="I178" s="0" t="s">
        <v>299</v>
      </c>
    </row>
    <row r="179" customFormat="false" ht="15" hidden="false" customHeight="false" outlineLevel="0" collapsed="false">
      <c r="A179" s="0" t="n">
        <v>3.77792324863536E-108</v>
      </c>
      <c r="B179" s="0" t="n">
        <v>2.35480301925967E-109</v>
      </c>
      <c r="C179" s="0" t="n">
        <v>0.939019890158109</v>
      </c>
      <c r="D179" s="0" t="n">
        <v>0.0585247821669683</v>
      </c>
      <c r="E179" s="0" t="n">
        <v>0.0024553276749321</v>
      </c>
      <c r="F179" s="0" t="n">
        <v>2166</v>
      </c>
      <c r="G179" s="0" t="s">
        <v>159</v>
      </c>
      <c r="H179" s="0" t="s">
        <v>13</v>
      </c>
      <c r="I179" s="0" t="s">
        <v>175</v>
      </c>
    </row>
    <row r="180" customFormat="false" ht="15" hidden="false" customHeight="false" outlineLevel="0" collapsed="false">
      <c r="A180" s="0" t="n">
        <v>0.0019368241379572</v>
      </c>
      <c r="B180" s="0" t="n">
        <v>0.833555682144705</v>
      </c>
      <c r="C180" s="0" t="n">
        <v>0.000369581461321</v>
      </c>
      <c r="D180" s="0" t="n">
        <v>0.159047485282113</v>
      </c>
      <c r="E180" s="0" t="n">
        <v>0.0050904269739034</v>
      </c>
      <c r="F180" s="0" t="n">
        <v>3240</v>
      </c>
      <c r="G180" s="0" t="s">
        <v>159</v>
      </c>
      <c r="H180" s="0" t="s">
        <v>13</v>
      </c>
      <c r="I180" s="0" t="s">
        <v>300</v>
      </c>
    </row>
    <row r="181" customFormat="false" ht="15" hidden="false" customHeight="false" outlineLevel="0" collapsed="false">
      <c r="A181" s="0" t="n">
        <v>0.0078480183511633</v>
      </c>
      <c r="B181" s="0" t="n">
        <v>0.0009298514495433</v>
      </c>
      <c r="C181" s="0" t="n">
        <v>0.882211849673232</v>
      </c>
      <c r="D181" s="0" t="n">
        <v>0.104517524304054</v>
      </c>
      <c r="E181" s="0" t="n">
        <v>0.0044927562220072</v>
      </c>
      <c r="F181" s="0" t="n">
        <v>3160</v>
      </c>
      <c r="G181" s="0" t="s">
        <v>159</v>
      </c>
      <c r="H181" s="0" t="s">
        <v>13</v>
      </c>
      <c r="I181" s="0" t="s">
        <v>176</v>
      </c>
    </row>
    <row r="182" customFormat="false" ht="15" hidden="false" customHeight="false" outlineLevel="0" collapsed="false">
      <c r="A182" s="0" t="n">
        <v>7.5963761431128E-010</v>
      </c>
      <c r="B182" s="0" t="n">
        <v>0.854473308040665</v>
      </c>
      <c r="C182" s="0" t="n">
        <v>1.24997759834715E-010</v>
      </c>
      <c r="D182" s="0" t="n">
        <v>0.140593029810834</v>
      </c>
      <c r="E182" s="0" t="n">
        <v>0.0049336612638672</v>
      </c>
      <c r="F182" s="0" t="n">
        <v>3211</v>
      </c>
      <c r="G182" s="0" t="s">
        <v>159</v>
      </c>
      <c r="H182" s="0" t="s">
        <v>13</v>
      </c>
      <c r="I182" s="0" t="s">
        <v>301</v>
      </c>
    </row>
    <row r="183" customFormat="false" ht="15" hidden="false" customHeight="false" outlineLevel="0" collapsed="false">
      <c r="A183" s="0" t="n">
        <v>4.84115183152615E-006</v>
      </c>
      <c r="B183" s="0" t="n">
        <v>0.814869012182118</v>
      </c>
      <c r="C183" s="0" t="n">
        <v>1.05189293270594E-006</v>
      </c>
      <c r="D183" s="0" t="n">
        <v>0.177039824566691</v>
      </c>
      <c r="E183" s="0" t="n">
        <v>0.0080852702064261</v>
      </c>
      <c r="F183" s="0" t="n">
        <v>4436</v>
      </c>
      <c r="G183" s="0" t="s">
        <v>159</v>
      </c>
      <c r="H183" s="0" t="s">
        <v>13</v>
      </c>
      <c r="I183" s="0" t="s">
        <v>302</v>
      </c>
    </row>
    <row r="184" customFormat="false" ht="15" hidden="false" customHeight="false" outlineLevel="0" collapsed="false">
      <c r="A184" s="0" t="n">
        <v>2.2367486164637E-028</v>
      </c>
      <c r="B184" s="0" t="n">
        <v>0.82587843796994</v>
      </c>
      <c r="C184" s="0" t="n">
        <v>4.59364041110343E-029</v>
      </c>
      <c r="D184" s="0" t="n">
        <v>0.169602716593599</v>
      </c>
      <c r="E184" s="0" t="n">
        <v>0.0045188454364616</v>
      </c>
      <c r="F184" s="0" t="n">
        <v>4195</v>
      </c>
      <c r="G184" s="0" t="s">
        <v>159</v>
      </c>
      <c r="H184" s="0" t="s">
        <v>13</v>
      </c>
      <c r="I184" s="0" t="s">
        <v>303</v>
      </c>
    </row>
    <row r="185" customFormat="false" ht="15" hidden="false" customHeight="false" outlineLevel="0" collapsed="false">
      <c r="A185" s="0" t="n">
        <v>0.0113520981770079</v>
      </c>
      <c r="B185" s="0" t="n">
        <v>0.809889341844769</v>
      </c>
      <c r="C185" s="0" t="n">
        <v>0.002362372872736</v>
      </c>
      <c r="D185" s="0" t="n">
        <v>0.168522312904315</v>
      </c>
      <c r="E185" s="0" t="n">
        <v>0.0078738742011724</v>
      </c>
      <c r="F185" s="0" t="n">
        <v>4561</v>
      </c>
      <c r="G185" s="0" t="s">
        <v>159</v>
      </c>
      <c r="H185" s="0" t="s">
        <v>13</v>
      </c>
      <c r="I185" s="0" t="s">
        <v>304</v>
      </c>
    </row>
    <row r="186" customFormat="false" ht="15" hidden="false" customHeight="false" outlineLevel="0" collapsed="false">
      <c r="A186" s="0" t="n">
        <v>3.35059137327179E-009</v>
      </c>
      <c r="B186" s="0" t="n">
        <v>0.861314418988221</v>
      </c>
      <c r="C186" s="0" t="n">
        <v>5.22986042751071E-010</v>
      </c>
      <c r="D186" s="0" t="n">
        <v>0.13443206461387</v>
      </c>
      <c r="E186" s="0" t="n">
        <v>0.0042535125243326</v>
      </c>
      <c r="F186" s="0" t="n">
        <v>3800</v>
      </c>
      <c r="G186" s="0" t="s">
        <v>159</v>
      </c>
      <c r="H186" s="0" t="s">
        <v>13</v>
      </c>
      <c r="I186" s="0" t="s">
        <v>305</v>
      </c>
    </row>
    <row r="187" customFormat="false" ht="15" hidden="false" customHeight="false" outlineLevel="0" collapsed="false">
      <c r="A187" s="0" t="n">
        <v>0.002672513199776</v>
      </c>
      <c r="B187" s="0" t="n">
        <v>0.724761594805335</v>
      </c>
      <c r="C187" s="0" t="n">
        <v>0.000849933434141</v>
      </c>
      <c r="D187" s="0" t="n">
        <v>0.23041171095588</v>
      </c>
      <c r="E187" s="0" t="n">
        <v>0.0413042476048686</v>
      </c>
      <c r="F187" s="0" t="n">
        <v>5301</v>
      </c>
      <c r="G187" s="0" t="s">
        <v>159</v>
      </c>
      <c r="H187" s="0" t="s">
        <v>13</v>
      </c>
      <c r="I187" s="0" t="s">
        <v>306</v>
      </c>
    </row>
    <row r="188" customFormat="false" ht="15" hidden="false" customHeight="false" outlineLevel="0" collapsed="false">
      <c r="A188" s="0" t="n">
        <v>1.03976055285305E-007</v>
      </c>
      <c r="B188" s="0" t="n">
        <v>0.803013504235167</v>
      </c>
      <c r="C188" s="0" t="n">
        <v>2.49615489722198E-008</v>
      </c>
      <c r="D188" s="0" t="n">
        <v>0.192771155765474</v>
      </c>
      <c r="E188" s="0" t="n">
        <v>0.0042152110617555</v>
      </c>
      <c r="F188" s="0" t="n">
        <v>4497</v>
      </c>
      <c r="G188" s="0" t="s">
        <v>159</v>
      </c>
      <c r="H188" s="0" t="s">
        <v>13</v>
      </c>
      <c r="I188" s="0" t="s">
        <v>307</v>
      </c>
    </row>
    <row r="189" customFormat="false" ht="15" hidden="false" customHeight="false" outlineLevel="0" collapsed="false">
      <c r="A189" s="0" t="n">
        <v>5.17605865707398E-014</v>
      </c>
      <c r="B189" s="0" t="n">
        <v>0.878738978334173</v>
      </c>
      <c r="C189" s="0" t="n">
        <v>6.48651391739378E-015</v>
      </c>
      <c r="D189" s="0" t="n">
        <v>0.110099160409648</v>
      </c>
      <c r="E189" s="0" t="n">
        <v>0.0111618612561212</v>
      </c>
      <c r="F189" s="0" t="n">
        <v>3221</v>
      </c>
      <c r="G189" s="0" t="s">
        <v>159</v>
      </c>
      <c r="H189" s="0" t="s">
        <v>13</v>
      </c>
      <c r="I189" s="0" t="s">
        <v>308</v>
      </c>
    </row>
    <row r="190" customFormat="false" ht="15" hidden="false" customHeight="false" outlineLevel="0" collapsed="false">
      <c r="A190" s="0" t="n">
        <v>6.59006409047706E-006</v>
      </c>
      <c r="B190" s="0" t="n">
        <v>0.75497911773314</v>
      </c>
      <c r="C190" s="0" t="n">
        <v>2.07965665584996E-006</v>
      </c>
      <c r="D190" s="0" t="n">
        <v>0.238238664972154</v>
      </c>
      <c r="E190" s="0" t="n">
        <v>0.0067735475739592</v>
      </c>
      <c r="F190" s="0" t="n">
        <v>4139</v>
      </c>
      <c r="G190" s="0" t="s">
        <v>159</v>
      </c>
      <c r="H190" s="0" t="s">
        <v>13</v>
      </c>
      <c r="I190" s="0" t="s">
        <v>309</v>
      </c>
    </row>
    <row r="191" customFormat="false" ht="15" hidden="false" customHeight="false" outlineLevel="0" collapsed="false">
      <c r="A191" s="0" t="n">
        <v>0.0001660287590073</v>
      </c>
      <c r="B191" s="0" t="n">
        <v>0.835303329869165</v>
      </c>
      <c r="C191" s="0" t="n">
        <v>3.10615809610425E-005</v>
      </c>
      <c r="D191" s="0" t="n">
        <v>0.156256693421572</v>
      </c>
      <c r="E191" s="0" t="n">
        <v>0.0082428863692934</v>
      </c>
      <c r="F191" s="0" t="n">
        <v>2564</v>
      </c>
      <c r="G191" s="0" t="s">
        <v>159</v>
      </c>
      <c r="H191" s="0" t="s">
        <v>13</v>
      </c>
      <c r="I191" s="0" t="s">
        <v>310</v>
      </c>
    </row>
    <row r="192" customFormat="false" ht="15" hidden="false" customHeight="false" outlineLevel="0" collapsed="false">
      <c r="A192" s="0" t="n">
        <v>1.77029538855962E-017</v>
      </c>
      <c r="B192" s="0" t="n">
        <v>0.753268757884212</v>
      </c>
      <c r="C192" s="0" t="n">
        <v>5.66064940954215E-018</v>
      </c>
      <c r="D192" s="0" t="n">
        <v>0.240851453256673</v>
      </c>
      <c r="E192" s="0" t="n">
        <v>0.0058797888591154</v>
      </c>
      <c r="F192" s="0" t="n">
        <v>4421</v>
      </c>
      <c r="G192" s="0" t="s">
        <v>159</v>
      </c>
      <c r="H192" s="0" t="s">
        <v>13</v>
      </c>
      <c r="I192" s="0" t="s">
        <v>278</v>
      </c>
    </row>
    <row r="193" customFormat="false" ht="15" hidden="false" customHeight="false" outlineLevel="0" collapsed="false">
      <c r="A193" s="0" t="n">
        <v>2.8911646959623E-084</v>
      </c>
      <c r="B193" s="0" t="n">
        <v>0.0339992403784935</v>
      </c>
      <c r="C193" s="0" t="n">
        <v>2.41720976192332E-084</v>
      </c>
      <c r="D193" s="0" t="n">
        <v>0.0265467627595345</v>
      </c>
      <c r="E193" s="0" t="n">
        <v>0.939453996861978</v>
      </c>
      <c r="F193" s="0" t="n">
        <v>3810</v>
      </c>
      <c r="G193" s="0" t="s">
        <v>159</v>
      </c>
      <c r="H193" s="0" t="s">
        <v>13</v>
      </c>
      <c r="I193" s="0" t="s">
        <v>311</v>
      </c>
    </row>
    <row r="194" customFormat="false" ht="15" hidden="false" customHeight="false" outlineLevel="0" collapsed="false">
      <c r="A194" s="0" t="n">
        <v>1.46847374006E-013</v>
      </c>
      <c r="B194" s="0" t="n">
        <v>2.8386922103608E-013</v>
      </c>
      <c r="C194" s="0" t="n">
        <v>0.339822471905711</v>
      </c>
      <c r="D194" s="0" t="n">
        <v>0.656900940359196</v>
      </c>
      <c r="E194" s="0" t="n">
        <v>0.0032765877346612</v>
      </c>
      <c r="F194" s="0" t="n">
        <v>6105</v>
      </c>
      <c r="G194" s="0" t="s">
        <v>159</v>
      </c>
      <c r="H194" s="0" t="s">
        <v>13</v>
      </c>
      <c r="I194" s="0" t="s">
        <v>184</v>
      </c>
    </row>
    <row r="195" customFormat="false" ht="15" hidden="false" customHeight="false" outlineLevel="0" collapsed="false">
      <c r="A195" s="0" t="n">
        <v>0.0004142447731611</v>
      </c>
      <c r="B195" s="0" t="n">
        <v>0.555962580028498</v>
      </c>
      <c r="C195" s="0" t="n">
        <v>0.0003250438524889</v>
      </c>
      <c r="D195" s="0" t="n">
        <v>0.436230884297839</v>
      </c>
      <c r="E195" s="0" t="n">
        <v>0.007067247048013</v>
      </c>
      <c r="F195" s="0" t="n">
        <v>3133</v>
      </c>
      <c r="G195" s="0" t="s">
        <v>159</v>
      </c>
      <c r="H195" s="0" t="s">
        <v>13</v>
      </c>
      <c r="I195" s="0" t="s">
        <v>312</v>
      </c>
    </row>
    <row r="196" customFormat="false" ht="15" hidden="false" customHeight="false" outlineLevel="0" collapsed="false">
      <c r="A196" s="0" t="n">
        <v>0.0164807066969764</v>
      </c>
      <c r="B196" s="0" t="n">
        <v>0.0024659557191373</v>
      </c>
      <c r="C196" s="0" t="n">
        <v>0.851119096785502</v>
      </c>
      <c r="D196" s="0" t="n">
        <v>0.127345064751882</v>
      </c>
      <c r="E196" s="0" t="n">
        <v>0.0025891760465014</v>
      </c>
      <c r="F196" s="0" t="n">
        <v>3219</v>
      </c>
      <c r="G196" s="0" t="s">
        <v>159</v>
      </c>
      <c r="H196" s="0" t="s">
        <v>13</v>
      </c>
      <c r="I196" s="0" t="s">
        <v>185</v>
      </c>
    </row>
    <row r="197" customFormat="false" ht="15" hidden="false" customHeight="false" outlineLevel="0" collapsed="false">
      <c r="A197" s="0" t="n">
        <v>1.4060020891688E-018</v>
      </c>
      <c r="B197" s="0" t="n">
        <v>0.89311321080348</v>
      </c>
      <c r="C197" s="0" t="n">
        <v>1.53389107857954E-019</v>
      </c>
      <c r="D197" s="0" t="n">
        <v>0.0974160764002245</v>
      </c>
      <c r="E197" s="0" t="n">
        <v>0.0094707127962985</v>
      </c>
      <c r="F197" s="0" t="n">
        <v>2426</v>
      </c>
      <c r="G197" s="0" t="s">
        <v>159</v>
      </c>
      <c r="H197" s="0" t="s">
        <v>13</v>
      </c>
      <c r="I197" s="0" t="s">
        <v>313</v>
      </c>
    </row>
    <row r="198" customFormat="false" ht="15" hidden="false" customHeight="false" outlineLevel="0" collapsed="false">
      <c r="A198" s="0" t="n">
        <v>2.35772876620653E-027</v>
      </c>
      <c r="B198" s="0" t="n">
        <v>0.857435875327862</v>
      </c>
      <c r="C198" s="0" t="n">
        <v>3.78404259484625E-028</v>
      </c>
      <c r="D198" s="0" t="n">
        <v>0.137604462834892</v>
      </c>
      <c r="E198" s="0" t="n">
        <v>0.0049596618372451</v>
      </c>
      <c r="F198" s="0" t="n">
        <v>2555</v>
      </c>
      <c r="G198" s="0" t="s">
        <v>159</v>
      </c>
      <c r="H198" s="0" t="s">
        <v>13</v>
      </c>
      <c r="I198" s="0" t="s">
        <v>218</v>
      </c>
    </row>
    <row r="199" customFormat="false" ht="15" hidden="false" customHeight="false" outlineLevel="0" collapsed="false">
      <c r="A199" s="0" t="n">
        <v>0.0056908085546124</v>
      </c>
      <c r="B199" s="0" t="n">
        <v>0.840233050936141</v>
      </c>
      <c r="C199" s="0" t="n">
        <v>0.0009961040093803</v>
      </c>
      <c r="D199" s="0" t="n">
        <v>0.147060120973411</v>
      </c>
      <c r="E199" s="0" t="n">
        <v>0.0060199155264552</v>
      </c>
      <c r="F199" s="0" t="n">
        <v>3868</v>
      </c>
      <c r="G199" s="0" t="s">
        <v>159</v>
      </c>
      <c r="H199" s="0" t="s">
        <v>13</v>
      </c>
      <c r="I199" s="0" t="s">
        <v>314</v>
      </c>
    </row>
    <row r="200" customFormat="false" ht="15" hidden="false" customHeight="false" outlineLevel="0" collapsed="false">
      <c r="A200" s="0" t="n">
        <v>0.0084532990110409</v>
      </c>
      <c r="B200" s="0" t="n">
        <v>0.808110120041401</v>
      </c>
      <c r="C200" s="0" t="n">
        <v>0.0018123892332148</v>
      </c>
      <c r="D200" s="0" t="n">
        <v>0.173242229861094</v>
      </c>
      <c r="E200" s="0" t="n">
        <v>0.0083819618532496</v>
      </c>
      <c r="F200" s="0" t="n">
        <v>4576</v>
      </c>
      <c r="G200" s="0" t="s">
        <v>159</v>
      </c>
      <c r="H200" s="0" t="s">
        <v>13</v>
      </c>
      <c r="I200" s="0" t="s">
        <v>284</v>
      </c>
    </row>
    <row r="201" customFormat="false" ht="15" hidden="false" customHeight="false" outlineLevel="0" collapsed="false">
      <c r="A201" s="0" t="n">
        <v>1.9444952884267E-050</v>
      </c>
      <c r="B201" s="0" t="n">
        <v>0.802162675043928</v>
      </c>
      <c r="C201" s="0" t="n">
        <v>4.65627316254372E-051</v>
      </c>
      <c r="D201" s="0" t="n">
        <v>0.19207371763176</v>
      </c>
      <c r="E201" s="0" t="n">
        <v>0.0057636073243109</v>
      </c>
      <c r="F201" s="0" t="n">
        <v>4353</v>
      </c>
      <c r="G201" s="0" t="s">
        <v>159</v>
      </c>
      <c r="H201" s="0" t="s">
        <v>13</v>
      </c>
      <c r="I201" s="0" t="s">
        <v>219</v>
      </c>
    </row>
    <row r="202" customFormat="false" ht="15" hidden="false" customHeight="false" outlineLevel="0" collapsed="false">
      <c r="A202" s="0" t="n">
        <v>1.96134803857786E-025</v>
      </c>
      <c r="B202" s="0" t="n">
        <v>0.814911026218897</v>
      </c>
      <c r="C202" s="0" t="n">
        <v>4.334723633323E-026</v>
      </c>
      <c r="D202" s="0" t="n">
        <v>0.180091343968668</v>
      </c>
      <c r="E202" s="0" t="n">
        <v>0.0049976298124341</v>
      </c>
      <c r="F202" s="0" t="n">
        <v>4224</v>
      </c>
      <c r="G202" s="0" t="s">
        <v>159</v>
      </c>
      <c r="H202" s="0" t="s">
        <v>13</v>
      </c>
      <c r="I202" s="0" t="s">
        <v>315</v>
      </c>
    </row>
    <row r="203" customFormat="false" ht="15" hidden="false" customHeight="false" outlineLevel="0" collapsed="false">
      <c r="A203" s="0" t="n">
        <v>8.07308571789443E-005</v>
      </c>
      <c r="B203" s="0" t="n">
        <v>0.884685150747997</v>
      </c>
      <c r="C203" s="0" t="n">
        <v>9.51511015048417E-006</v>
      </c>
      <c r="D203" s="0" t="n">
        <v>0.104248917935274</v>
      </c>
      <c r="E203" s="0" t="n">
        <v>0.0109756853493986</v>
      </c>
      <c r="F203" s="0" t="n">
        <v>2275</v>
      </c>
      <c r="G203" s="0" t="s">
        <v>159</v>
      </c>
      <c r="H203" s="0" t="s">
        <v>13</v>
      </c>
      <c r="I203" s="0" t="s">
        <v>316</v>
      </c>
    </row>
    <row r="204" customFormat="false" ht="15" hidden="false" customHeight="false" outlineLevel="0" collapsed="false">
      <c r="A204" s="0" t="n">
        <v>0.0163618617683145</v>
      </c>
      <c r="B204" s="0" t="n">
        <v>0.0015800549895331</v>
      </c>
      <c r="C204" s="0" t="n">
        <v>0.893360859439788</v>
      </c>
      <c r="D204" s="0" t="n">
        <v>0.086266450569434</v>
      </c>
      <c r="E204" s="0" t="n">
        <v>0.0024307732329304</v>
      </c>
      <c r="F204" s="0" t="n">
        <v>4272</v>
      </c>
      <c r="G204" s="0" t="s">
        <v>159</v>
      </c>
      <c r="H204" s="0" t="s">
        <v>13</v>
      </c>
      <c r="I204" s="0" t="s">
        <v>187</v>
      </c>
    </row>
    <row r="205" customFormat="false" ht="15" hidden="false" customHeight="false" outlineLevel="0" collapsed="false">
      <c r="A205" s="0" t="n">
        <v>6.34910383596555E-005</v>
      </c>
      <c r="B205" s="0" t="n">
        <v>0.629285287700886</v>
      </c>
      <c r="C205" s="0" t="n">
        <v>3.70102324540955E-005</v>
      </c>
      <c r="D205" s="0" t="n">
        <v>0.366815743483792</v>
      </c>
      <c r="E205" s="0" t="n">
        <v>0.0037984675445074</v>
      </c>
      <c r="F205" s="0" t="n">
        <v>3656</v>
      </c>
      <c r="G205" s="0" t="s">
        <v>159</v>
      </c>
      <c r="H205" s="0" t="s">
        <v>13</v>
      </c>
      <c r="I205" s="0" t="s">
        <v>317</v>
      </c>
    </row>
    <row r="206" customFormat="false" ht="15" hidden="false" customHeight="false" outlineLevel="0" collapsed="false">
      <c r="A206" s="0" t="n">
        <v>0.0166316583765113</v>
      </c>
      <c r="B206" s="0" t="n">
        <v>0.841917159482283</v>
      </c>
      <c r="C206" s="0" t="n">
        <v>0.0026518975495098</v>
      </c>
      <c r="D206" s="0" t="n">
        <v>0.134233527972512</v>
      </c>
      <c r="E206" s="0" t="n">
        <v>0.0045657566191836</v>
      </c>
      <c r="F206" s="0" t="n">
        <v>3174</v>
      </c>
      <c r="G206" s="0" t="s">
        <v>159</v>
      </c>
      <c r="H206" s="0" t="s">
        <v>13</v>
      </c>
      <c r="I206" s="0" t="s">
        <v>222</v>
      </c>
    </row>
    <row r="207" customFormat="false" ht="15" hidden="false" customHeight="false" outlineLevel="0" collapsed="false">
      <c r="A207" s="0" t="n">
        <v>3.07714601154534E-015</v>
      </c>
      <c r="B207" s="0" t="n">
        <v>0.917181907018979</v>
      </c>
      <c r="C207" s="0" t="n">
        <v>2.54369827554262E-016</v>
      </c>
      <c r="D207" s="0" t="n">
        <v>0.0758040848223193</v>
      </c>
      <c r="E207" s="0" t="n">
        <v>0.0070140081587004</v>
      </c>
      <c r="F207" s="0" t="n">
        <v>2043</v>
      </c>
      <c r="G207" s="0" t="s">
        <v>159</v>
      </c>
      <c r="H207" s="0" t="s">
        <v>13</v>
      </c>
      <c r="I207" s="0" t="s">
        <v>223</v>
      </c>
    </row>
    <row r="208" customFormat="false" ht="15" hidden="false" customHeight="false" outlineLevel="0" collapsed="false">
      <c r="A208" s="0" t="n">
        <v>0.000158036700719</v>
      </c>
      <c r="B208" s="0" t="n">
        <v>1.97476548047312E-005</v>
      </c>
      <c r="C208" s="0" t="n">
        <v>0.884823699309123</v>
      </c>
      <c r="D208" s="0" t="n">
        <v>0.11055526028103</v>
      </c>
      <c r="E208" s="0" t="n">
        <v>0.0044432560543239</v>
      </c>
      <c r="F208" s="0" t="n">
        <v>3909</v>
      </c>
      <c r="G208" s="0" t="s">
        <v>159</v>
      </c>
      <c r="H208" s="0" t="s">
        <v>13</v>
      </c>
      <c r="I208" s="0" t="s">
        <v>191</v>
      </c>
    </row>
    <row r="209" customFormat="false" ht="15" hidden="false" customHeight="false" outlineLevel="0" collapsed="false">
      <c r="A209" s="0" t="n">
        <v>3.95697167070327E-109</v>
      </c>
      <c r="B209" s="0" t="n">
        <v>6.04825520706181E-110</v>
      </c>
      <c r="C209" s="0" t="n">
        <v>0.863771294959485</v>
      </c>
      <c r="D209" s="0" t="n">
        <v>0.132019548202459</v>
      </c>
      <c r="E209" s="0" t="n">
        <v>0.0042091568380499</v>
      </c>
      <c r="F209" s="0" t="n">
        <v>3949</v>
      </c>
      <c r="G209" s="0" t="s">
        <v>159</v>
      </c>
      <c r="H209" s="0" t="s">
        <v>13</v>
      </c>
      <c r="I209" s="0" t="s">
        <v>192</v>
      </c>
    </row>
    <row r="210" customFormat="false" ht="15" hidden="false" customHeight="false" outlineLevel="0" collapsed="false">
      <c r="A210" s="0" t="n">
        <v>2.95599653388514E-005</v>
      </c>
      <c r="B210" s="0" t="n">
        <v>0.879110178464849</v>
      </c>
      <c r="C210" s="0" t="n">
        <v>3.91023960476839E-006</v>
      </c>
      <c r="D210" s="0" t="n">
        <v>0.116280952976528</v>
      </c>
      <c r="E210" s="0" t="n">
        <v>0.0045753983536803</v>
      </c>
      <c r="F210" s="0" t="n">
        <v>3080</v>
      </c>
      <c r="G210" s="0" t="s">
        <v>160</v>
      </c>
      <c r="H210" s="0" t="s">
        <v>13</v>
      </c>
      <c r="I210" s="0" t="s">
        <v>244</v>
      </c>
    </row>
    <row r="211" customFormat="false" ht="15" hidden="false" customHeight="false" outlineLevel="0" collapsed="false">
      <c r="A211" s="0" t="n">
        <v>8.88080285433794E-019</v>
      </c>
      <c r="B211" s="0" t="n">
        <v>0.722077817173184</v>
      </c>
      <c r="C211" s="0" t="n">
        <v>2.39900248080598E-019</v>
      </c>
      <c r="D211" s="0" t="n">
        <v>0.194891356369521</v>
      </c>
      <c r="E211" s="0" t="n">
        <v>0.0830308264572939</v>
      </c>
      <c r="F211" s="0" t="n">
        <v>3407</v>
      </c>
      <c r="G211" s="0" t="s">
        <v>160</v>
      </c>
      <c r="H211" s="0" t="s">
        <v>13</v>
      </c>
      <c r="I211" s="0" t="s">
        <v>318</v>
      </c>
    </row>
    <row r="212" customFormat="false" ht="15" hidden="false" customHeight="false" outlineLevel="0" collapsed="false">
      <c r="A212" s="0" t="n">
        <v>4.1540113803676E-109</v>
      </c>
      <c r="B212" s="0" t="n">
        <v>4.13383105075815E-110</v>
      </c>
      <c r="C212" s="0" t="n">
        <v>0.906783289822958</v>
      </c>
      <c r="D212" s="0" t="n">
        <v>0.0902318408145743</v>
      </c>
      <c r="E212" s="0" t="n">
        <v>0.0029848693624579</v>
      </c>
      <c r="F212" s="0" t="n">
        <v>3949</v>
      </c>
      <c r="G212" s="0" t="s">
        <v>160</v>
      </c>
      <c r="H212" s="0" t="s">
        <v>13</v>
      </c>
      <c r="I212" s="0" t="s">
        <v>192</v>
      </c>
    </row>
    <row r="213" customFormat="false" ht="15" hidden="false" customHeight="false" outlineLevel="0" collapsed="false">
      <c r="A213" s="0" t="n">
        <v>0.0025949031453623</v>
      </c>
      <c r="B213" s="0" t="n">
        <v>0.889351089763379</v>
      </c>
      <c r="C213" s="0" t="n">
        <v>0.0002976265404126</v>
      </c>
      <c r="D213" s="0" t="n">
        <v>0.101994011974904</v>
      </c>
      <c r="E213" s="0" t="n">
        <v>0.0057623685759414</v>
      </c>
      <c r="F213" s="0" t="n">
        <v>2280</v>
      </c>
      <c r="G213" s="0" t="s">
        <v>160</v>
      </c>
      <c r="H213" s="0" t="s">
        <v>13</v>
      </c>
      <c r="I213" s="0" t="s">
        <v>319</v>
      </c>
    </row>
    <row r="214" customFormat="false" ht="15" hidden="false" customHeight="false" outlineLevel="0" collapsed="false">
      <c r="A214" s="0" t="n">
        <v>1.50924754635495E-014</v>
      </c>
      <c r="B214" s="0" t="n">
        <v>0.789343191860577</v>
      </c>
      <c r="C214" s="0" t="n">
        <v>3.58563440777311E-015</v>
      </c>
      <c r="D214" s="0" t="n">
        <v>0.187483931510556</v>
      </c>
      <c r="E214" s="0" t="n">
        <v>0.0231728766288496</v>
      </c>
      <c r="F214" s="0" t="n">
        <v>4378</v>
      </c>
      <c r="G214" s="0" t="s">
        <v>160</v>
      </c>
      <c r="H214" s="0" t="s">
        <v>13</v>
      </c>
      <c r="I214" s="0" t="s">
        <v>320</v>
      </c>
    </row>
    <row r="215" customFormat="false" ht="15" hidden="false" customHeight="false" outlineLevel="0" collapsed="false">
      <c r="A215" s="0" t="n">
        <v>1.22444221444686E-058</v>
      </c>
      <c r="B215" s="0" t="n">
        <v>0.0012364187781007</v>
      </c>
      <c r="C215" s="0" t="n">
        <v>2.80540031665614E-058</v>
      </c>
      <c r="D215" s="0" t="n">
        <v>0.0008369874239721</v>
      </c>
      <c r="E215" s="0" t="n">
        <v>0.99792659379793</v>
      </c>
      <c r="F215" s="0" t="n">
        <v>2322</v>
      </c>
      <c r="G215" s="0" t="s">
        <v>160</v>
      </c>
      <c r="H215" s="0" t="s">
        <v>13</v>
      </c>
      <c r="I215" s="0" t="s">
        <v>321</v>
      </c>
    </row>
    <row r="216" customFormat="false" ht="15" hidden="false" customHeight="false" outlineLevel="0" collapsed="false">
      <c r="A216" s="0" t="n">
        <v>8.47853361053529E-018</v>
      </c>
      <c r="B216" s="0" t="n">
        <v>0.846548862591193</v>
      </c>
      <c r="C216" s="0" t="n">
        <v>1.48479658197117E-018</v>
      </c>
      <c r="D216" s="0" t="n">
        <v>0.148240788223549</v>
      </c>
      <c r="E216" s="0" t="n">
        <v>0.0052103491852576</v>
      </c>
      <c r="F216" s="0" t="n">
        <v>4328</v>
      </c>
      <c r="G216" s="0" t="s">
        <v>160</v>
      </c>
      <c r="H216" s="0" t="s">
        <v>13</v>
      </c>
      <c r="I216" s="0" t="s">
        <v>322</v>
      </c>
    </row>
    <row r="217" customFormat="false" ht="15" hidden="false" customHeight="false" outlineLevel="0" collapsed="false">
      <c r="A217" s="0" t="n">
        <v>0.0010309556810221</v>
      </c>
      <c r="B217" s="0" t="n">
        <v>0.875847780051058</v>
      </c>
      <c r="C217" s="0" t="n">
        <v>0.0001370920976323</v>
      </c>
      <c r="D217" s="0" t="n">
        <v>0.116453447814613</v>
      </c>
      <c r="E217" s="0" t="n">
        <v>0.0065307243556748</v>
      </c>
      <c r="F217" s="0" t="n">
        <v>3072</v>
      </c>
      <c r="G217" s="0" t="s">
        <v>160</v>
      </c>
      <c r="H217" s="0" t="s">
        <v>13</v>
      </c>
      <c r="I217" s="0" t="s">
        <v>323</v>
      </c>
    </row>
    <row r="218" customFormat="false" ht="15" hidden="false" customHeight="false" outlineLevel="0" collapsed="false">
      <c r="A218" s="0" t="n">
        <v>8.58280023599705E-009</v>
      </c>
      <c r="B218" s="0" t="n">
        <v>0.866614474963705</v>
      </c>
      <c r="C218" s="0" t="n">
        <v>1.24406931843741E-009</v>
      </c>
      <c r="D218" s="0" t="n">
        <v>0.125599431044061</v>
      </c>
      <c r="E218" s="0" t="n">
        <v>0.0077860841653627</v>
      </c>
      <c r="F218" s="0" t="n">
        <v>3164</v>
      </c>
      <c r="G218" s="0" t="s">
        <v>160</v>
      </c>
      <c r="H218" s="0" t="s">
        <v>13</v>
      </c>
      <c r="I218" s="0" t="s">
        <v>324</v>
      </c>
    </row>
    <row r="219" customFormat="false" ht="15" hidden="false" customHeight="false" outlineLevel="0" collapsed="false">
      <c r="A219" s="0" t="n">
        <v>0.0017164118280286</v>
      </c>
      <c r="B219" s="0" t="n">
        <v>0.89463005574627</v>
      </c>
      <c r="C219" s="0" t="n">
        <v>0.0001879297281354</v>
      </c>
      <c r="D219" s="0" t="n">
        <v>0.0979418916176868</v>
      </c>
      <c r="E219" s="0" t="n">
        <v>0.0055237110798791</v>
      </c>
      <c r="F219" s="0" t="n">
        <v>2962</v>
      </c>
      <c r="G219" s="0" t="s">
        <v>160</v>
      </c>
      <c r="H219" s="0" t="s">
        <v>13</v>
      </c>
      <c r="I219" s="0" t="s">
        <v>325</v>
      </c>
    </row>
    <row r="220" customFormat="false" ht="15" hidden="false" customHeight="false" outlineLevel="0" collapsed="false">
      <c r="A220" s="0" t="n">
        <v>0.0002196488498853</v>
      </c>
      <c r="B220" s="0" t="n">
        <v>0.874675805142231</v>
      </c>
      <c r="C220" s="0" t="n">
        <v>2.99478702929046E-005</v>
      </c>
      <c r="D220" s="0" t="n">
        <v>0.119245408408798</v>
      </c>
      <c r="E220" s="0" t="n">
        <v>0.0058291897287934</v>
      </c>
      <c r="F220" s="0" t="n">
        <v>2797</v>
      </c>
      <c r="G220" s="0" t="s">
        <v>160</v>
      </c>
      <c r="H220" s="0" t="s">
        <v>13</v>
      </c>
      <c r="I220" s="0" t="s">
        <v>326</v>
      </c>
    </row>
    <row r="221" customFormat="false" ht="15" hidden="false" customHeight="false" outlineLevel="0" collapsed="false">
      <c r="A221" s="0" t="n">
        <v>1.38482767557559E-225</v>
      </c>
      <c r="B221" s="0" t="n">
        <v>0.751196369856575</v>
      </c>
      <c r="C221" s="0" t="n">
        <v>4.49849807903965E-226</v>
      </c>
      <c r="D221" s="0" t="n">
        <v>0.244010336351713</v>
      </c>
      <c r="E221" s="0" t="n">
        <v>0.0047932937917574</v>
      </c>
      <c r="F221" s="0" t="n">
        <v>6691</v>
      </c>
      <c r="G221" s="0" t="s">
        <v>160</v>
      </c>
      <c r="H221" s="0" t="s">
        <v>13</v>
      </c>
      <c r="I221" s="0" t="s">
        <v>327</v>
      </c>
    </row>
    <row r="222" customFormat="false" ht="15" hidden="false" customHeight="false" outlineLevel="0" collapsed="false">
      <c r="A222" s="0" t="n">
        <v>8.03285293726749E-005</v>
      </c>
      <c r="B222" s="0" t="n">
        <v>0.829547247707112</v>
      </c>
      <c r="C222" s="0" t="n">
        <v>1.59697024599022E-005</v>
      </c>
      <c r="D222" s="0" t="n">
        <v>0.164907130174248</v>
      </c>
      <c r="E222" s="0" t="n">
        <v>0.0054493238868087</v>
      </c>
      <c r="F222" s="0" t="n">
        <v>2757</v>
      </c>
      <c r="G222" s="0" t="s">
        <v>160</v>
      </c>
      <c r="H222" s="0" t="s">
        <v>13</v>
      </c>
      <c r="I222" s="0" t="s">
        <v>328</v>
      </c>
    </row>
    <row r="223" customFormat="false" ht="15" hidden="false" customHeight="false" outlineLevel="0" collapsed="false">
      <c r="A223" s="0" t="n">
        <v>2.40813665924006E-008</v>
      </c>
      <c r="B223" s="0" t="n">
        <v>0.0741775110687594</v>
      </c>
      <c r="C223" s="0" t="n">
        <v>2.27176005310743E-007</v>
      </c>
      <c r="D223" s="0" t="n">
        <v>0.699314191213833</v>
      </c>
      <c r="E223" s="0" t="n">
        <v>0.226508046460037</v>
      </c>
      <c r="F223" s="0" t="n">
        <v>4488</v>
      </c>
      <c r="G223" s="0" t="s">
        <v>160</v>
      </c>
      <c r="H223" s="0" t="s">
        <v>13</v>
      </c>
      <c r="I223" s="0" t="s">
        <v>329</v>
      </c>
    </row>
    <row r="224" customFormat="false" ht="15" hidden="false" customHeight="false" outlineLevel="0" collapsed="false">
      <c r="A224" s="0" t="n">
        <v>0.0001030822636404</v>
      </c>
      <c r="B224" s="0" t="n">
        <v>0.788696565971819</v>
      </c>
      <c r="C224" s="0" t="n">
        <v>2.69521197486223E-005</v>
      </c>
      <c r="D224" s="0" t="n">
        <v>0.206204434364844</v>
      </c>
      <c r="E224" s="0" t="n">
        <v>0.0049689652799468</v>
      </c>
      <c r="F224" s="0" t="n">
        <v>4624</v>
      </c>
      <c r="G224" s="0" t="s">
        <v>160</v>
      </c>
      <c r="H224" s="0" t="s">
        <v>13</v>
      </c>
      <c r="I224" s="0" t="s">
        <v>330</v>
      </c>
    </row>
    <row r="225" customFormat="false" ht="15" hidden="false" customHeight="false" outlineLevel="0" collapsed="false">
      <c r="A225" s="0" t="n">
        <v>0.0001614002646766</v>
      </c>
      <c r="B225" s="0" t="n">
        <v>1.64750817649956E-005</v>
      </c>
      <c r="C225" s="0" t="n">
        <v>0.903655787617056</v>
      </c>
      <c r="D225" s="0" t="n">
        <v>0.0922336375392445</v>
      </c>
      <c r="E225" s="0" t="n">
        <v>0.0039326994972578</v>
      </c>
      <c r="F225" s="0" t="n">
        <v>3909</v>
      </c>
      <c r="G225" s="0" t="s">
        <v>160</v>
      </c>
      <c r="H225" s="0" t="s">
        <v>13</v>
      </c>
      <c r="I225" s="0" t="s">
        <v>191</v>
      </c>
    </row>
    <row r="226" customFormat="false" ht="15" hidden="false" customHeight="false" outlineLevel="0" collapsed="false">
      <c r="A226" s="0" t="n">
        <v>1.8875099389954E-005</v>
      </c>
      <c r="B226" s="0" t="n">
        <v>0.779772862157566</v>
      </c>
      <c r="C226" s="0" t="n">
        <v>5.16464062408666E-006</v>
      </c>
      <c r="D226" s="0" t="n">
        <v>0.213349227109777</v>
      </c>
      <c r="E226" s="0" t="n">
        <v>0.0068538709926416</v>
      </c>
      <c r="F226" s="0" t="n">
        <v>4848</v>
      </c>
      <c r="G226" s="0" t="s">
        <v>160</v>
      </c>
      <c r="H226" s="0" t="s">
        <v>13</v>
      </c>
      <c r="I226" s="0" t="s">
        <v>331</v>
      </c>
    </row>
    <row r="227" customFormat="false" ht="15" hidden="false" customHeight="false" outlineLevel="0" collapsed="false">
      <c r="A227" s="0" t="n">
        <v>7.29614703740908E-006</v>
      </c>
      <c r="B227" s="0" t="n">
        <v>0.803199100345035</v>
      </c>
      <c r="C227" s="0" t="n">
        <v>1.741198113383E-006</v>
      </c>
      <c r="D227" s="0" t="n">
        <v>0.191670208171265</v>
      </c>
      <c r="E227" s="0" t="n">
        <v>0.0051216541385506</v>
      </c>
      <c r="F227" s="0" t="n">
        <v>4459</v>
      </c>
      <c r="G227" s="0" t="s">
        <v>160</v>
      </c>
      <c r="H227" s="0" t="s">
        <v>13</v>
      </c>
      <c r="I227" s="0" t="s">
        <v>332</v>
      </c>
    </row>
    <row r="228" customFormat="false" ht="15" hidden="false" customHeight="false" outlineLevel="0" collapsed="false">
      <c r="A228" s="0" t="n">
        <v>9.88582972046784E-005</v>
      </c>
      <c r="B228" s="0" t="n">
        <v>0.805550769712071</v>
      </c>
      <c r="C228" s="0" t="n">
        <v>2.29762674338665E-005</v>
      </c>
      <c r="D228" s="0" t="n">
        <v>0.187208792522109</v>
      </c>
      <c r="E228" s="0" t="n">
        <v>0.0071186032011803</v>
      </c>
      <c r="F228" s="0" t="n">
        <v>4123</v>
      </c>
      <c r="G228" s="0" t="s">
        <v>160</v>
      </c>
      <c r="H228" s="0" t="s">
        <v>13</v>
      </c>
      <c r="I228" s="0" t="s">
        <v>333</v>
      </c>
    </row>
    <row r="229" customFormat="false" ht="15" hidden="false" customHeight="false" outlineLevel="0" collapsed="false">
      <c r="A229" s="0" t="n">
        <v>2.13936077209722E-005</v>
      </c>
      <c r="B229" s="0" t="n">
        <v>0.85180261644118</v>
      </c>
      <c r="C229" s="0" t="n">
        <v>3.52512025236215E-006</v>
      </c>
      <c r="D229" s="0" t="n">
        <v>0.140339654219868</v>
      </c>
      <c r="E229" s="0" t="n">
        <v>0.0078328106109785</v>
      </c>
      <c r="F229" s="0" t="n">
        <v>2260</v>
      </c>
      <c r="G229" s="0" t="s">
        <v>160</v>
      </c>
      <c r="H229" s="0" t="s">
        <v>13</v>
      </c>
      <c r="I229" s="0" t="s">
        <v>334</v>
      </c>
    </row>
    <row r="230" customFormat="false" ht="15" hidden="false" customHeight="false" outlineLevel="0" collapsed="false">
      <c r="A230" s="0" t="n">
        <v>1.48404827340714E-013</v>
      </c>
      <c r="B230" s="0" t="n">
        <v>0.863252758214685</v>
      </c>
      <c r="C230" s="0" t="n">
        <v>2.19776507662753E-014</v>
      </c>
      <c r="D230" s="0" t="n">
        <v>0.127823463153668</v>
      </c>
      <c r="E230" s="0" t="n">
        <v>0.0089237786314771</v>
      </c>
      <c r="F230" s="0" t="n">
        <v>3778</v>
      </c>
      <c r="G230" s="0" t="s">
        <v>160</v>
      </c>
      <c r="H230" s="0" t="s">
        <v>13</v>
      </c>
      <c r="I230" s="0" t="s">
        <v>335</v>
      </c>
    </row>
    <row r="231" customFormat="false" ht="15" hidden="false" customHeight="false" outlineLevel="0" collapsed="false">
      <c r="A231" s="0" t="n">
        <v>1.07226564734938E-008</v>
      </c>
      <c r="B231" s="0" t="n">
        <v>0.844787759774858</v>
      </c>
      <c r="C231" s="0" t="n">
        <v>1.88610823936938E-009</v>
      </c>
      <c r="D231" s="0" t="n">
        <v>0.148584357002267</v>
      </c>
      <c r="E231" s="0" t="n">
        <v>0.0066278706141092</v>
      </c>
      <c r="F231" s="0" t="n">
        <v>3905</v>
      </c>
      <c r="G231" s="0" t="s">
        <v>160</v>
      </c>
      <c r="H231" s="0" t="s">
        <v>13</v>
      </c>
      <c r="I231" s="0" t="s">
        <v>336</v>
      </c>
    </row>
    <row r="232" customFormat="false" ht="15" hidden="false" customHeight="false" outlineLevel="0" collapsed="false">
      <c r="A232" s="0" t="n">
        <v>2.23006711267108E-015</v>
      </c>
      <c r="B232" s="0" t="n">
        <v>0.747951405570978</v>
      </c>
      <c r="C232" s="0" t="n">
        <v>7.27130600708748E-016</v>
      </c>
      <c r="D232" s="0" t="n">
        <v>0.243858951525366</v>
      </c>
      <c r="E232" s="0" t="n">
        <v>0.0081896429036529</v>
      </c>
      <c r="F232" s="0" t="n">
        <v>4331</v>
      </c>
      <c r="G232" s="0" t="s">
        <v>160</v>
      </c>
      <c r="H232" s="0" t="s">
        <v>13</v>
      </c>
      <c r="I232" s="0" t="s">
        <v>337</v>
      </c>
    </row>
    <row r="233" customFormat="false" ht="15" hidden="false" customHeight="false" outlineLevel="0" collapsed="false">
      <c r="A233" s="0" t="n">
        <v>7.91638360483004E-007</v>
      </c>
      <c r="B233" s="0" t="n">
        <v>0.702418306181169</v>
      </c>
      <c r="C233" s="0" t="n">
        <v>1.96807850286183E-007</v>
      </c>
      <c r="D233" s="0" t="n">
        <v>0.174380605946772</v>
      </c>
      <c r="E233" s="0" t="n">
        <v>0.123200099425849</v>
      </c>
      <c r="F233" s="0" t="n">
        <v>3714</v>
      </c>
      <c r="G233" s="0" t="s">
        <v>160</v>
      </c>
      <c r="H233" s="0" t="s">
        <v>13</v>
      </c>
      <c r="I233" s="0" t="s">
        <v>338</v>
      </c>
    </row>
    <row r="234" customFormat="false" ht="15" hidden="false" customHeight="false" outlineLevel="0" collapsed="false">
      <c r="A234" s="0" t="n">
        <v>7.61909028600007E-005</v>
      </c>
      <c r="B234" s="0" t="n">
        <v>1.64016216049852E-005</v>
      </c>
      <c r="C234" s="0" t="n">
        <v>0.82046583764207</v>
      </c>
      <c r="D234" s="0" t="n">
        <v>0.176616093950632</v>
      </c>
      <c r="E234" s="0" t="n">
        <v>0.002825475882833</v>
      </c>
      <c r="F234" s="0" t="n">
        <v>4779</v>
      </c>
      <c r="G234" s="0" t="s">
        <v>160</v>
      </c>
      <c r="H234" s="0" t="s">
        <v>13</v>
      </c>
      <c r="I234" s="0" t="s">
        <v>190</v>
      </c>
    </row>
    <row r="235" customFormat="false" ht="15" hidden="false" customHeight="false" outlineLevel="0" collapsed="false">
      <c r="A235" s="0" t="n">
        <v>2.29199675125316E-005</v>
      </c>
      <c r="B235" s="0" t="n">
        <v>0.75227010175334</v>
      </c>
      <c r="C235" s="0" t="n">
        <v>7.25249374587652E-006</v>
      </c>
      <c r="D235" s="0" t="n">
        <v>0.238019117904813</v>
      </c>
      <c r="E235" s="0" t="n">
        <v>0.0096806078805897</v>
      </c>
      <c r="F235" s="0" t="n">
        <v>3337</v>
      </c>
      <c r="G235" s="0" t="s">
        <v>160</v>
      </c>
      <c r="H235" s="0" t="s">
        <v>13</v>
      </c>
      <c r="I235" s="0" t="s">
        <v>299</v>
      </c>
    </row>
    <row r="236" customFormat="false" ht="15" hidden="false" customHeight="false" outlineLevel="0" collapsed="false">
      <c r="A236" s="0" t="n">
        <v>6.70479236993646E-006</v>
      </c>
      <c r="B236" s="0" t="n">
        <v>0.869296225337523</v>
      </c>
      <c r="C236" s="0" t="n">
        <v>9.72988364358319E-007</v>
      </c>
      <c r="D236" s="0" t="n">
        <v>0.12614171975261</v>
      </c>
      <c r="E236" s="0" t="n">
        <v>0.0045543771291321</v>
      </c>
      <c r="F236" s="0" t="n">
        <v>2636</v>
      </c>
      <c r="G236" s="0" t="s">
        <v>160</v>
      </c>
      <c r="H236" s="0" t="s">
        <v>13</v>
      </c>
      <c r="I236" s="0" t="s">
        <v>339</v>
      </c>
    </row>
    <row r="237" customFormat="false" ht="15" hidden="false" customHeight="false" outlineLevel="0" collapsed="false">
      <c r="A237" s="0" t="n">
        <v>3.78725008447156E-108</v>
      </c>
      <c r="B237" s="0" t="n">
        <v>2.11671980960515E-109</v>
      </c>
      <c r="C237" s="0" t="n">
        <v>0.941338117339032</v>
      </c>
      <c r="D237" s="0" t="n">
        <v>0.0525999031335781</v>
      </c>
      <c r="E237" s="0" t="n">
        <v>0.0060619795273834</v>
      </c>
      <c r="F237" s="0" t="n">
        <v>2166</v>
      </c>
      <c r="G237" s="0" t="s">
        <v>160</v>
      </c>
      <c r="H237" s="0" t="s">
        <v>13</v>
      </c>
      <c r="I237" s="0" t="s">
        <v>175</v>
      </c>
    </row>
    <row r="238" customFormat="false" ht="15" hidden="false" customHeight="false" outlineLevel="0" collapsed="false">
      <c r="A238" s="0" t="n">
        <v>2.27059891834619E-012</v>
      </c>
      <c r="B238" s="0" t="n">
        <v>0.809207650698016</v>
      </c>
      <c r="C238" s="0" t="n">
        <v>5.00646151570151E-013</v>
      </c>
      <c r="D238" s="0" t="n">
        <v>0.178398046387051</v>
      </c>
      <c r="E238" s="0" t="n">
        <v>0.0123943029121607</v>
      </c>
      <c r="F238" s="0" t="n">
        <v>3651</v>
      </c>
      <c r="G238" s="0" t="s">
        <v>160</v>
      </c>
      <c r="H238" s="0" t="s">
        <v>13</v>
      </c>
      <c r="I238" s="0" t="s">
        <v>340</v>
      </c>
    </row>
    <row r="239" customFormat="false" ht="15" hidden="false" customHeight="false" outlineLevel="0" collapsed="false">
      <c r="A239" s="0" t="n">
        <v>5.31452789419065E-005</v>
      </c>
      <c r="B239" s="0" t="n">
        <v>0.810756949308541</v>
      </c>
      <c r="C239" s="0" t="n">
        <v>1.20935698242473E-005</v>
      </c>
      <c r="D239" s="0" t="n">
        <v>0.184483872334642</v>
      </c>
      <c r="E239" s="0" t="n">
        <v>0.0046939395080515</v>
      </c>
      <c r="F239" s="0" t="n">
        <v>3606</v>
      </c>
      <c r="G239" s="0" t="s">
        <v>160</v>
      </c>
      <c r="H239" s="0" t="s">
        <v>13</v>
      </c>
      <c r="I239" s="0" t="s">
        <v>341</v>
      </c>
    </row>
    <row r="240" customFormat="false" ht="15" hidden="false" customHeight="false" outlineLevel="0" collapsed="false">
      <c r="A240" s="0" t="n">
        <v>0.008012502850096</v>
      </c>
      <c r="B240" s="0" t="n">
        <v>0.0006841491939471</v>
      </c>
      <c r="C240" s="0" t="n">
        <v>0.900701889776729</v>
      </c>
      <c r="D240" s="0" t="n">
        <v>0.0768791704243281</v>
      </c>
      <c r="E240" s="0" t="n">
        <v>0.0137222877549</v>
      </c>
      <c r="F240" s="0" t="n">
        <v>3160</v>
      </c>
      <c r="G240" s="0" t="s">
        <v>160</v>
      </c>
      <c r="H240" s="0" t="s">
        <v>13</v>
      </c>
      <c r="I240" s="0" t="s">
        <v>176</v>
      </c>
    </row>
    <row r="241" customFormat="false" ht="15" hidden="false" customHeight="false" outlineLevel="0" collapsed="false">
      <c r="A241" s="0" t="n">
        <v>0.0035962610456786</v>
      </c>
      <c r="B241" s="0" t="n">
        <v>0.845782222917278</v>
      </c>
      <c r="C241" s="0" t="n">
        <v>0.0006136580146786</v>
      </c>
      <c r="D241" s="0" t="n">
        <v>0.144311010371994</v>
      </c>
      <c r="E241" s="0" t="n">
        <v>0.0056968476503707</v>
      </c>
      <c r="F241" s="0" t="n">
        <v>3646</v>
      </c>
      <c r="G241" s="0" t="s">
        <v>160</v>
      </c>
      <c r="H241" s="0" t="s">
        <v>13</v>
      </c>
      <c r="I241" s="0" t="s">
        <v>342</v>
      </c>
    </row>
    <row r="242" customFormat="false" ht="15" hidden="false" customHeight="false" outlineLevel="0" collapsed="false">
      <c r="A242" s="0" t="n">
        <v>2.03667681726643E-011</v>
      </c>
      <c r="B242" s="0" t="n">
        <v>0.876324002861234</v>
      </c>
      <c r="C242" s="0" t="n">
        <v>2.7657071395974E-012</v>
      </c>
      <c r="D242" s="0" t="n">
        <v>0.118991128071222</v>
      </c>
      <c r="E242" s="0" t="n">
        <v>0.0046848690444108</v>
      </c>
      <c r="F242" s="0" t="n">
        <v>3829</v>
      </c>
      <c r="G242" s="0" t="s">
        <v>160</v>
      </c>
      <c r="H242" s="0" t="s">
        <v>13</v>
      </c>
      <c r="I242" s="0" t="s">
        <v>343</v>
      </c>
    </row>
    <row r="243" customFormat="false" ht="15" hidden="false" customHeight="false" outlineLevel="0" collapsed="false">
      <c r="A243" s="0" t="n">
        <v>0.0163579451395949</v>
      </c>
      <c r="B243" s="0" t="n">
        <v>0.848712483223629</v>
      </c>
      <c r="C243" s="0" t="n">
        <v>0.0023181799469717</v>
      </c>
      <c r="D243" s="0" t="n">
        <v>0.120251282823219</v>
      </c>
      <c r="E243" s="0" t="n">
        <v>0.0123601088665856</v>
      </c>
      <c r="F243" s="0" t="n">
        <v>2290</v>
      </c>
      <c r="G243" s="0" t="s">
        <v>160</v>
      </c>
      <c r="H243" s="0" t="s">
        <v>13</v>
      </c>
      <c r="I243" s="0" t="s">
        <v>344</v>
      </c>
    </row>
    <row r="244" customFormat="false" ht="15" hidden="false" customHeight="false" outlineLevel="0" collapsed="false">
      <c r="A244" s="0" t="n">
        <v>9.27517311408712E-007</v>
      </c>
      <c r="B244" s="0" t="n">
        <v>0.85389819538587</v>
      </c>
      <c r="C244" s="0" t="n">
        <v>1.45481058310224E-007</v>
      </c>
      <c r="D244" s="0" t="n">
        <v>0.133909520077625</v>
      </c>
      <c r="E244" s="0" t="n">
        <v>0.0121912115381347</v>
      </c>
      <c r="F244" s="0" t="n">
        <v>3249</v>
      </c>
      <c r="G244" s="0" t="s">
        <v>160</v>
      </c>
      <c r="H244" s="0" t="s">
        <v>13</v>
      </c>
      <c r="I244" s="0" t="s">
        <v>345</v>
      </c>
    </row>
    <row r="245" customFormat="false" ht="15" hidden="false" customHeight="false" outlineLevel="0" collapsed="false">
      <c r="A245" s="0" t="n">
        <v>1.52117481396678E-011</v>
      </c>
      <c r="B245" s="0" t="n">
        <v>0.869495728083436</v>
      </c>
      <c r="C245" s="0" t="n">
        <v>2.12953974087421E-012</v>
      </c>
      <c r="D245" s="0" t="n">
        <v>0.121705803323831</v>
      </c>
      <c r="E245" s="0" t="n">
        <v>0.0087984685753917</v>
      </c>
      <c r="F245" s="0" t="n">
        <v>3275</v>
      </c>
      <c r="G245" s="0" t="s">
        <v>160</v>
      </c>
      <c r="H245" s="0" t="s">
        <v>13</v>
      </c>
      <c r="I245" s="0" t="s">
        <v>346</v>
      </c>
    </row>
    <row r="246" customFormat="false" ht="15" hidden="false" customHeight="false" outlineLevel="0" collapsed="false">
      <c r="A246" s="0" t="n">
        <v>5.46046176071728E-009</v>
      </c>
      <c r="B246" s="0" t="n">
        <v>0.737434786484168</v>
      </c>
      <c r="C246" s="0" t="n">
        <v>1.90440875216417E-009</v>
      </c>
      <c r="D246" s="0" t="n">
        <v>0.257179430132718</v>
      </c>
      <c r="E246" s="0" t="n">
        <v>0.0053857760182442</v>
      </c>
      <c r="F246" s="0" t="n">
        <v>3744</v>
      </c>
      <c r="G246" s="0" t="s">
        <v>160</v>
      </c>
      <c r="H246" s="0" t="s">
        <v>13</v>
      </c>
      <c r="I246" s="0" t="s">
        <v>347</v>
      </c>
    </row>
    <row r="247" customFormat="false" ht="15" hidden="false" customHeight="false" outlineLevel="0" collapsed="false">
      <c r="A247" s="0" t="n">
        <v>8.44259552697524E-005</v>
      </c>
      <c r="B247" s="0" t="n">
        <v>0.849398315304768</v>
      </c>
      <c r="C247" s="0" t="n">
        <v>1.44917484540756E-005</v>
      </c>
      <c r="D247" s="0" t="n">
        <v>0.145790129890824</v>
      </c>
      <c r="E247" s="0" t="n">
        <v>0.0047126371006832</v>
      </c>
      <c r="F247" s="0" t="n">
        <v>3600</v>
      </c>
      <c r="G247" s="0" t="s">
        <v>160</v>
      </c>
      <c r="H247" s="0" t="s">
        <v>13</v>
      </c>
      <c r="I247" s="0" t="s">
        <v>348</v>
      </c>
    </row>
    <row r="248" customFormat="false" ht="15" hidden="false" customHeight="false" outlineLevel="0" collapsed="false">
      <c r="A248" s="0" t="n">
        <v>0.0049682801873621</v>
      </c>
      <c r="B248" s="0" t="n">
        <v>0.835300174960005</v>
      </c>
      <c r="C248" s="0" t="n">
        <v>0.0008989803400634</v>
      </c>
      <c r="D248" s="0" t="n">
        <v>0.151127118720715</v>
      </c>
      <c r="E248" s="0" t="n">
        <v>0.0077054457918549</v>
      </c>
      <c r="F248" s="0" t="n">
        <v>3207</v>
      </c>
      <c r="G248" s="0" t="s">
        <v>160</v>
      </c>
      <c r="H248" s="0" t="s">
        <v>13</v>
      </c>
      <c r="I248" s="0" t="s">
        <v>349</v>
      </c>
    </row>
    <row r="249" customFormat="false" ht="15" hidden="false" customHeight="false" outlineLevel="0" collapsed="false">
      <c r="A249" s="0" t="n">
        <v>8.35597455369598E-022</v>
      </c>
      <c r="B249" s="0" t="n">
        <v>0.866395505798564</v>
      </c>
      <c r="C249" s="0" t="n">
        <v>1.09532915393379E-022</v>
      </c>
      <c r="D249" s="0" t="n">
        <v>0.113529877846733</v>
      </c>
      <c r="E249" s="0" t="n">
        <v>0.0200746163547056</v>
      </c>
      <c r="F249" s="0" t="n">
        <v>1791</v>
      </c>
      <c r="G249" s="0" t="s">
        <v>160</v>
      </c>
      <c r="H249" s="0" t="s">
        <v>13</v>
      </c>
      <c r="I249" s="0" t="s">
        <v>350</v>
      </c>
    </row>
    <row r="250" customFormat="false" ht="15" hidden="false" customHeight="false" outlineLevel="0" collapsed="false">
      <c r="A250" s="0" t="n">
        <v>5.30574181545717E-019</v>
      </c>
      <c r="B250" s="0" t="n">
        <v>0.829000332680599</v>
      </c>
      <c r="C250" s="0" t="n">
        <v>1.05579271497109E-019</v>
      </c>
      <c r="D250" s="0" t="n">
        <v>0.164951171557074</v>
      </c>
      <c r="E250" s="0" t="n">
        <v>0.0060484957623269</v>
      </c>
      <c r="F250" s="0" t="n">
        <v>3744</v>
      </c>
      <c r="G250" s="0" t="s">
        <v>160</v>
      </c>
      <c r="H250" s="0" t="s">
        <v>13</v>
      </c>
      <c r="I250" s="0" t="s">
        <v>351</v>
      </c>
    </row>
    <row r="251" customFormat="false" ht="15" hidden="false" customHeight="false" outlineLevel="0" collapsed="false">
      <c r="A251" s="0" t="n">
        <v>4.13666536256387E-013</v>
      </c>
      <c r="B251" s="0" t="n">
        <v>0.82258063503562</v>
      </c>
      <c r="C251" s="0" t="n">
        <v>8.28828600513168E-014</v>
      </c>
      <c r="D251" s="0" t="n">
        <v>0.164788252233743</v>
      </c>
      <c r="E251" s="0" t="n">
        <v>0.0126311127301393</v>
      </c>
      <c r="F251" s="0" t="n">
        <v>3451</v>
      </c>
      <c r="G251" s="0" t="s">
        <v>160</v>
      </c>
      <c r="H251" s="0" t="s">
        <v>13</v>
      </c>
      <c r="I251" s="0" t="s">
        <v>352</v>
      </c>
    </row>
    <row r="252" customFormat="false" ht="15" hidden="false" customHeight="false" outlineLevel="0" collapsed="false">
      <c r="A252" s="0" t="n">
        <v>3.37732246392589E-010</v>
      </c>
      <c r="B252" s="0" t="n">
        <v>0.810849638457653</v>
      </c>
      <c r="C252" s="0" t="n">
        <v>5.98059342165919E-011</v>
      </c>
      <c r="D252" s="0" t="n">
        <v>0.143494682147569</v>
      </c>
      <c r="E252" s="0" t="n">
        <v>0.0456556789972412</v>
      </c>
      <c r="F252" s="0" t="n">
        <v>3146</v>
      </c>
      <c r="G252" s="0" t="s">
        <v>160</v>
      </c>
      <c r="H252" s="0" t="s">
        <v>13</v>
      </c>
      <c r="I252" s="0" t="s">
        <v>353</v>
      </c>
    </row>
    <row r="253" customFormat="false" ht="15" hidden="false" customHeight="false" outlineLevel="0" collapsed="false">
      <c r="A253" s="0" t="n">
        <v>0.0046667064347335</v>
      </c>
      <c r="B253" s="0" t="n">
        <v>0.786016847155862</v>
      </c>
      <c r="C253" s="0" t="n">
        <v>0.0012007445677309</v>
      </c>
      <c r="D253" s="0" t="n">
        <v>0.202230533216026</v>
      </c>
      <c r="E253" s="0" t="n">
        <v>0.0058851686256473</v>
      </c>
      <c r="F253" s="0" t="n">
        <v>4199</v>
      </c>
      <c r="G253" s="0" t="s">
        <v>160</v>
      </c>
      <c r="H253" s="0" t="s">
        <v>13</v>
      </c>
      <c r="I253" s="0" t="s">
        <v>354</v>
      </c>
    </row>
    <row r="254" customFormat="false" ht="15" hidden="false" customHeight="false" outlineLevel="0" collapsed="false">
      <c r="A254" s="0" t="n">
        <v>0.0066627050127331</v>
      </c>
      <c r="B254" s="0" t="n">
        <v>0.777742345818348</v>
      </c>
      <c r="C254" s="0" t="n">
        <v>0.0017964763923129</v>
      </c>
      <c r="D254" s="0" t="n">
        <v>0.209695775329833</v>
      </c>
      <c r="E254" s="0" t="n">
        <v>0.0041026974467721</v>
      </c>
      <c r="F254" s="0" t="n">
        <v>3495</v>
      </c>
      <c r="G254" s="0" t="s">
        <v>160</v>
      </c>
      <c r="H254" s="0" t="s">
        <v>13</v>
      </c>
      <c r="I254" s="0" t="s">
        <v>355</v>
      </c>
    </row>
    <row r="255" customFormat="false" ht="15" hidden="false" customHeight="false" outlineLevel="0" collapsed="false">
      <c r="A255" s="0" t="n">
        <v>0.0003984909466002</v>
      </c>
      <c r="B255" s="0" t="n">
        <v>0.794393385253331</v>
      </c>
      <c r="C255" s="0" t="n">
        <v>9.9496299569999E-005</v>
      </c>
      <c r="D255" s="0" t="n">
        <v>0.19833274168855</v>
      </c>
      <c r="E255" s="0" t="n">
        <v>0.0067758858119487</v>
      </c>
      <c r="F255" s="0" t="n">
        <v>4633</v>
      </c>
      <c r="G255" s="0" t="s">
        <v>160</v>
      </c>
      <c r="H255" s="0" t="s">
        <v>13</v>
      </c>
      <c r="I255" s="0" t="s">
        <v>356</v>
      </c>
    </row>
    <row r="256" customFormat="false" ht="15" hidden="false" customHeight="false" outlineLevel="0" collapsed="false">
      <c r="A256" s="0" t="n">
        <v>6.07774529133497E-007</v>
      </c>
      <c r="B256" s="0" t="n">
        <v>0.848601193481387</v>
      </c>
      <c r="C256" s="0" t="n">
        <v>1.02719086875469E-007</v>
      </c>
      <c r="D256" s="0" t="n">
        <v>0.143404863764455</v>
      </c>
      <c r="E256" s="0" t="n">
        <v>0.0079932322605417</v>
      </c>
      <c r="F256" s="0" t="n">
        <v>3773</v>
      </c>
      <c r="G256" s="0" t="s">
        <v>160</v>
      </c>
      <c r="H256" s="0" t="s">
        <v>13</v>
      </c>
      <c r="I256" s="0" t="s">
        <v>357</v>
      </c>
    </row>
    <row r="257" customFormat="false" ht="15" hidden="false" customHeight="false" outlineLevel="0" collapsed="false">
      <c r="A257" s="0" t="n">
        <v>0.0002700541083363</v>
      </c>
      <c r="B257" s="0" t="n">
        <v>0.856438481902981</v>
      </c>
      <c r="C257" s="0" t="n">
        <v>4.2053732213679E-005</v>
      </c>
      <c r="D257" s="0" t="n">
        <v>0.13334767164589</v>
      </c>
      <c r="E257" s="0" t="n">
        <v>0.0099017386105792</v>
      </c>
      <c r="F257" s="0" t="n">
        <v>2540</v>
      </c>
      <c r="G257" s="0" t="s">
        <v>160</v>
      </c>
      <c r="H257" s="0" t="s">
        <v>13</v>
      </c>
      <c r="I257" s="0" t="s">
        <v>358</v>
      </c>
    </row>
    <row r="258" customFormat="false" ht="15" hidden="false" customHeight="false" outlineLevel="0" collapsed="false">
      <c r="A258" s="0" t="n">
        <v>3.38678257676019E-005</v>
      </c>
      <c r="B258" s="0" t="n">
        <v>0.867057111503538</v>
      </c>
      <c r="C258" s="0" t="n">
        <v>4.91331486393663E-006</v>
      </c>
      <c r="D258" s="0" t="n">
        <v>0.125772512230909</v>
      </c>
      <c r="E258" s="0" t="n">
        <v>0.0071315951249219</v>
      </c>
      <c r="F258" s="0" t="n">
        <v>3033</v>
      </c>
      <c r="G258" s="0" t="s">
        <v>160</v>
      </c>
      <c r="H258" s="0" t="s">
        <v>13</v>
      </c>
      <c r="I258" s="0" t="s">
        <v>359</v>
      </c>
    </row>
    <row r="259" customFormat="false" ht="15" hidden="false" customHeight="false" outlineLevel="0" collapsed="false">
      <c r="A259" s="0" t="n">
        <v>3.18507945422958E-006</v>
      </c>
      <c r="B259" s="0" t="n">
        <v>0.769708782100221</v>
      </c>
      <c r="C259" s="0" t="n">
        <v>8.42554405673608E-007</v>
      </c>
      <c r="D259" s="0" t="n">
        <v>0.203558897443078</v>
      </c>
      <c r="E259" s="0" t="n">
        <v>0.0267282928228401</v>
      </c>
      <c r="F259" s="0" t="n">
        <v>4844</v>
      </c>
      <c r="G259" s="0" t="s">
        <v>160</v>
      </c>
      <c r="H259" s="0" t="s">
        <v>13</v>
      </c>
      <c r="I259" s="0" t="s">
        <v>360</v>
      </c>
    </row>
    <row r="260" customFormat="false" ht="15" hidden="false" customHeight="false" outlineLevel="0" collapsed="false">
      <c r="A260" s="0" t="n">
        <v>6.51686627912345E-007</v>
      </c>
      <c r="B260" s="0" t="n">
        <v>0.847905270074116</v>
      </c>
      <c r="C260" s="0" t="n">
        <v>1.13195524683411E-007</v>
      </c>
      <c r="D260" s="0" t="n">
        <v>0.147268316082403</v>
      </c>
      <c r="E260" s="0" t="n">
        <v>0.0048256489613287</v>
      </c>
      <c r="F260" s="0" t="n">
        <v>3662</v>
      </c>
      <c r="G260" s="0" t="s">
        <v>160</v>
      </c>
      <c r="H260" s="0" t="s">
        <v>13</v>
      </c>
      <c r="I260" s="0" t="s">
        <v>361</v>
      </c>
    </row>
    <row r="261" customFormat="false" ht="15" hidden="false" customHeight="false" outlineLevel="0" collapsed="false">
      <c r="A261" s="0" t="n">
        <v>4.65959508854304E-005</v>
      </c>
      <c r="B261" s="0" t="n">
        <v>0.877866863419938</v>
      </c>
      <c r="C261" s="0" t="n">
        <v>6.21983628133502E-006</v>
      </c>
      <c r="D261" s="0" t="n">
        <v>0.117171784838235</v>
      </c>
      <c r="E261" s="0" t="n">
        <v>0.0049085359546609</v>
      </c>
      <c r="F261" s="0" t="n">
        <v>2917</v>
      </c>
      <c r="G261" s="0" t="s">
        <v>160</v>
      </c>
      <c r="H261" s="0" t="s">
        <v>13</v>
      </c>
      <c r="I261" s="0" t="s">
        <v>362</v>
      </c>
    </row>
    <row r="262" customFormat="false" ht="15" hidden="false" customHeight="false" outlineLevel="0" collapsed="false">
      <c r="A262" s="0" t="n">
        <v>5.77467346816551E-039</v>
      </c>
      <c r="B262" s="0" t="n">
        <v>0.0358938303763186</v>
      </c>
      <c r="C262" s="0" t="n">
        <v>4.585034169432E-039</v>
      </c>
      <c r="D262" s="0" t="n">
        <v>0.0266243861633245</v>
      </c>
      <c r="E262" s="0" t="n">
        <v>0.937481783460363</v>
      </c>
      <c r="F262" s="0" t="n">
        <v>2449</v>
      </c>
      <c r="G262" s="0" t="s">
        <v>160</v>
      </c>
      <c r="H262" s="0" t="s">
        <v>13</v>
      </c>
      <c r="I262" s="0" t="s">
        <v>363</v>
      </c>
    </row>
    <row r="263" customFormat="false" ht="15" hidden="false" customHeight="false" outlineLevel="0" collapsed="false">
      <c r="A263" s="0" t="n">
        <v>8.92209883863847E-011</v>
      </c>
      <c r="B263" s="0" t="n">
        <v>0.760479394934155</v>
      </c>
      <c r="C263" s="0" t="n">
        <v>2.42518393664132E-011</v>
      </c>
      <c r="D263" s="0" t="n">
        <v>0.206645972505548</v>
      </c>
      <c r="E263" s="0" t="n">
        <v>0.032874632446823</v>
      </c>
      <c r="F263" s="0" t="n">
        <v>3673</v>
      </c>
      <c r="G263" s="0" t="s">
        <v>160</v>
      </c>
      <c r="H263" s="0" t="s">
        <v>13</v>
      </c>
      <c r="I263" s="0" t="s">
        <v>364</v>
      </c>
    </row>
    <row r="264" customFormat="false" ht="15" hidden="false" customHeight="false" outlineLevel="0" collapsed="false">
      <c r="A264" s="0" t="n">
        <v>3.22902745719463E-006</v>
      </c>
      <c r="B264" s="0" t="n">
        <v>0.714881357917673</v>
      </c>
      <c r="C264" s="0" t="n">
        <v>1.24600052444048E-006</v>
      </c>
      <c r="D264" s="0" t="n">
        <v>0.275836189377787</v>
      </c>
      <c r="E264" s="0" t="n">
        <v>0.0092779776765584</v>
      </c>
      <c r="F264" s="0" t="n">
        <v>3261</v>
      </c>
      <c r="G264" s="0" t="s">
        <v>160</v>
      </c>
      <c r="H264" s="0" t="s">
        <v>13</v>
      </c>
      <c r="I264" s="0" t="s">
        <v>365</v>
      </c>
    </row>
    <row r="265" customFormat="false" ht="15" hidden="false" customHeight="false" outlineLevel="0" collapsed="false">
      <c r="A265" s="0" t="n">
        <v>0.0001642112382403</v>
      </c>
      <c r="B265" s="0" t="n">
        <v>0.853298897429203</v>
      </c>
      <c r="C265" s="0" t="n">
        <v>2.71422903857886E-005</v>
      </c>
      <c r="D265" s="0" t="n">
        <v>0.141029852688116</v>
      </c>
      <c r="E265" s="0" t="n">
        <v>0.0054798963540558</v>
      </c>
      <c r="F265" s="0" t="n">
        <v>4322</v>
      </c>
      <c r="G265" s="0" t="s">
        <v>160</v>
      </c>
      <c r="H265" s="0" t="s">
        <v>13</v>
      </c>
      <c r="I265" s="0" t="s">
        <v>366</v>
      </c>
    </row>
    <row r="266" customFormat="false" ht="15" hidden="false" customHeight="false" outlineLevel="0" collapsed="false">
      <c r="A266" s="0" t="n">
        <v>3.25074658315227E-013</v>
      </c>
      <c r="B266" s="0" t="n">
        <v>1.04890426597897E-013</v>
      </c>
      <c r="C266" s="0" t="n">
        <v>0.752261827563025</v>
      </c>
      <c r="D266" s="0" t="n">
        <v>0.242719014805466</v>
      </c>
      <c r="E266" s="0" t="n">
        <v>0.0050191576310776</v>
      </c>
      <c r="F266" s="0" t="n">
        <v>6105</v>
      </c>
      <c r="G266" s="0" t="s">
        <v>160</v>
      </c>
      <c r="H266" s="0" t="s">
        <v>13</v>
      </c>
      <c r="I266" s="0" t="s">
        <v>184</v>
      </c>
    </row>
    <row r="267" customFormat="false" ht="15" hidden="false" customHeight="false" outlineLevel="0" collapsed="false">
      <c r="A267" s="0" t="n">
        <v>0.0166705634444709</v>
      </c>
      <c r="B267" s="0" t="n">
        <v>0.0022640526724315</v>
      </c>
      <c r="C267" s="0" t="n">
        <v>0.860923937464804</v>
      </c>
      <c r="D267" s="0" t="n">
        <v>0.11691684182835</v>
      </c>
      <c r="E267" s="0" t="n">
        <v>0.0032246045899436</v>
      </c>
      <c r="F267" s="0" t="n">
        <v>3219</v>
      </c>
      <c r="G267" s="0" t="s">
        <v>160</v>
      </c>
      <c r="H267" s="0" t="s">
        <v>13</v>
      </c>
      <c r="I267" s="0" t="s">
        <v>185</v>
      </c>
    </row>
    <row r="268" customFormat="false" ht="15" hidden="false" customHeight="false" outlineLevel="0" collapsed="false">
      <c r="A268" s="0" t="n">
        <v>9.55863755750876E-005</v>
      </c>
      <c r="B268" s="0" t="n">
        <v>0.888674043386914</v>
      </c>
      <c r="C268" s="0" t="n">
        <v>1.11954684401711E-005</v>
      </c>
      <c r="D268" s="0" t="n">
        <v>0.104070853007558</v>
      </c>
      <c r="E268" s="0" t="n">
        <v>0.0071483217615121</v>
      </c>
      <c r="F268" s="0" t="n">
        <v>2378</v>
      </c>
      <c r="G268" s="0" t="s">
        <v>160</v>
      </c>
      <c r="H268" s="0" t="s">
        <v>13</v>
      </c>
      <c r="I268" s="0" t="s">
        <v>367</v>
      </c>
    </row>
    <row r="269" customFormat="false" ht="15" hidden="false" customHeight="false" outlineLevel="0" collapsed="false">
      <c r="A269" s="0" t="n">
        <v>0.0002860510491081</v>
      </c>
      <c r="B269" s="0" t="n">
        <v>0.841215234699545</v>
      </c>
      <c r="C269" s="0" t="n">
        <v>5.15869911551683E-005</v>
      </c>
      <c r="D269" s="0" t="n">
        <v>0.151692849478536</v>
      </c>
      <c r="E269" s="0" t="n">
        <v>0.0067542777816566</v>
      </c>
      <c r="F269" s="0" t="n">
        <v>3569</v>
      </c>
      <c r="G269" s="0" t="s">
        <v>160</v>
      </c>
      <c r="H269" s="0" t="s">
        <v>13</v>
      </c>
      <c r="I269" s="0" t="s">
        <v>368</v>
      </c>
    </row>
    <row r="270" customFormat="false" ht="15" hidden="false" customHeight="false" outlineLevel="0" collapsed="false">
      <c r="A270" s="0" t="n">
        <v>6.34160840896584E-018</v>
      </c>
      <c r="B270" s="0" t="n">
        <v>0.761262101698721</v>
      </c>
      <c r="C270" s="0" t="n">
        <v>1.89479948521371E-018</v>
      </c>
      <c r="D270" s="0" t="n">
        <v>0.227433731665916</v>
      </c>
      <c r="E270" s="0" t="n">
        <v>0.0113041666353636</v>
      </c>
      <c r="F270" s="0" t="n">
        <v>3554</v>
      </c>
      <c r="G270" s="0" t="s">
        <v>160</v>
      </c>
      <c r="H270" s="0" t="s">
        <v>13</v>
      </c>
      <c r="I270" s="0" t="s">
        <v>369</v>
      </c>
    </row>
    <row r="271" customFormat="false" ht="15" hidden="false" customHeight="false" outlineLevel="0" collapsed="false">
      <c r="A271" s="0" t="n">
        <v>3.84148713101015E-005</v>
      </c>
      <c r="B271" s="0" t="n">
        <v>0.83537369613911</v>
      </c>
      <c r="C271" s="0" t="n">
        <v>7.35171040843732E-006</v>
      </c>
      <c r="D271" s="0" t="n">
        <v>0.159861603930225</v>
      </c>
      <c r="E271" s="0" t="n">
        <v>0.0047189333489461</v>
      </c>
      <c r="F271" s="0" t="n">
        <v>3416</v>
      </c>
      <c r="G271" s="0" t="s">
        <v>160</v>
      </c>
      <c r="H271" s="0" t="s">
        <v>13</v>
      </c>
      <c r="I271" s="0" t="s">
        <v>370</v>
      </c>
    </row>
    <row r="272" customFormat="false" ht="15" hidden="false" customHeight="false" outlineLevel="0" collapsed="false">
      <c r="A272" s="0" t="n">
        <v>4.30696408329539E-005</v>
      </c>
      <c r="B272" s="0" t="n">
        <v>0.807850923686878</v>
      </c>
      <c r="C272" s="0" t="n">
        <v>9.91687160849751E-006</v>
      </c>
      <c r="D272" s="0" t="n">
        <v>0.185997105430865</v>
      </c>
      <c r="E272" s="0" t="n">
        <v>0.0060989843698164</v>
      </c>
      <c r="F272" s="0" t="n">
        <v>4620</v>
      </c>
      <c r="G272" s="0" t="s">
        <v>160</v>
      </c>
      <c r="H272" s="0" t="s">
        <v>13</v>
      </c>
      <c r="I272" s="0" t="s">
        <v>371</v>
      </c>
    </row>
    <row r="273" customFormat="false" ht="15" hidden="false" customHeight="false" outlineLevel="0" collapsed="false">
      <c r="A273" s="0" t="n">
        <v>6.77766958124896E-006</v>
      </c>
      <c r="B273" s="0" t="n">
        <v>0.816359194015197</v>
      </c>
      <c r="C273" s="0" t="n">
        <v>1.4531339018411E-006</v>
      </c>
      <c r="D273" s="0" t="n">
        <v>0.175010352678512</v>
      </c>
      <c r="E273" s="0" t="n">
        <v>0.0086222225028082</v>
      </c>
      <c r="F273" s="0" t="n">
        <v>4576</v>
      </c>
      <c r="G273" s="0" t="s">
        <v>160</v>
      </c>
      <c r="H273" s="0" t="s">
        <v>13</v>
      </c>
      <c r="I273" s="0" t="s">
        <v>284</v>
      </c>
    </row>
    <row r="274" customFormat="false" ht="15" hidden="false" customHeight="false" outlineLevel="0" collapsed="false">
      <c r="A274" s="0" t="n">
        <v>1.57744701184578E-015</v>
      </c>
      <c r="B274" s="0" t="n">
        <v>0.839709287531615</v>
      </c>
      <c r="C274" s="0" t="n">
        <v>2.91457259422066E-016</v>
      </c>
      <c r="D274" s="0" t="n">
        <v>0.155138722146611</v>
      </c>
      <c r="E274" s="0" t="n">
        <v>0.0051519903217708</v>
      </c>
      <c r="F274" s="0" t="n">
        <v>3330</v>
      </c>
      <c r="G274" s="0" t="s">
        <v>160</v>
      </c>
      <c r="H274" s="0" t="s">
        <v>13</v>
      </c>
      <c r="I274" s="0" t="s">
        <v>372</v>
      </c>
    </row>
    <row r="275" customFormat="false" ht="15" hidden="false" customHeight="false" outlineLevel="0" collapsed="false">
      <c r="A275" s="0" t="n">
        <v>0.000970467411954</v>
      </c>
      <c r="B275" s="0" t="n">
        <v>0.522518519740212</v>
      </c>
      <c r="C275" s="0" t="n">
        <v>0.0008091028087965</v>
      </c>
      <c r="D275" s="0" t="n">
        <v>0.435556389554823</v>
      </c>
      <c r="E275" s="0" t="n">
        <v>0.0401455204842145</v>
      </c>
      <c r="F275" s="0" t="n">
        <v>2010</v>
      </c>
      <c r="G275" s="0" t="s">
        <v>160</v>
      </c>
      <c r="H275" s="0" t="s">
        <v>13</v>
      </c>
      <c r="I275" s="0" t="s">
        <v>373</v>
      </c>
    </row>
    <row r="276" customFormat="false" ht="15" hidden="false" customHeight="false" outlineLevel="0" collapsed="false">
      <c r="A276" s="0" t="n">
        <v>0.0057340455232276</v>
      </c>
      <c r="B276" s="0" t="n">
        <v>0.884059644499392</v>
      </c>
      <c r="C276" s="0" t="n">
        <v>0.0006773411891284</v>
      </c>
      <c r="D276" s="0" t="n">
        <v>0.104420417156624</v>
      </c>
      <c r="E276" s="0" t="n">
        <v>0.0051085516316271</v>
      </c>
      <c r="F276" s="0" t="n">
        <v>2688</v>
      </c>
      <c r="G276" s="0" t="s">
        <v>160</v>
      </c>
      <c r="H276" s="0" t="s">
        <v>13</v>
      </c>
      <c r="I276" s="0" t="s">
        <v>374</v>
      </c>
    </row>
    <row r="277" customFormat="false" ht="15" hidden="false" customHeight="false" outlineLevel="0" collapsed="false">
      <c r="A277" s="0" t="n">
        <v>5.09893776522509E-009</v>
      </c>
      <c r="B277" s="0" t="n">
        <v>0.838226854232611</v>
      </c>
      <c r="C277" s="0" t="n">
        <v>9.06637488739139E-010</v>
      </c>
      <c r="D277" s="0" t="n">
        <v>0.149018846356717</v>
      </c>
      <c r="E277" s="0" t="n">
        <v>0.0127542934050966</v>
      </c>
      <c r="F277" s="0" t="n">
        <v>3417</v>
      </c>
      <c r="G277" s="0" t="s">
        <v>160</v>
      </c>
      <c r="H277" s="0" t="s">
        <v>13</v>
      </c>
      <c r="I277" s="0" t="s">
        <v>375</v>
      </c>
    </row>
    <row r="278" customFormat="false" ht="15" hidden="false" customHeight="false" outlineLevel="0" collapsed="false">
      <c r="A278" s="0" t="n">
        <v>0.0148471987731843</v>
      </c>
      <c r="B278" s="0" t="n">
        <v>0.003101462303932</v>
      </c>
      <c r="C278" s="0" t="n">
        <v>0.810659963034976</v>
      </c>
      <c r="D278" s="0" t="n">
        <v>0.169336339602077</v>
      </c>
      <c r="E278" s="0" t="n">
        <v>0.0020550362858313</v>
      </c>
      <c r="F278" s="0" t="n">
        <v>4272</v>
      </c>
      <c r="G278" s="0" t="s">
        <v>160</v>
      </c>
      <c r="H278" s="0" t="s">
        <v>13</v>
      </c>
      <c r="I278" s="0" t="s">
        <v>187</v>
      </c>
    </row>
    <row r="279" customFormat="false" ht="15" hidden="false" customHeight="false" outlineLevel="0" collapsed="false">
      <c r="A279" s="0" t="n">
        <v>3.33105144041242E-007</v>
      </c>
      <c r="B279" s="0" t="n">
        <v>0.833935772482937</v>
      </c>
      <c r="C279" s="0" t="n">
        <v>6.3704436059506E-008</v>
      </c>
      <c r="D279" s="0" t="n">
        <v>0.159472219649045</v>
      </c>
      <c r="E279" s="0" t="n">
        <v>0.0065916110584385</v>
      </c>
      <c r="F279" s="0" t="n">
        <v>4409</v>
      </c>
      <c r="G279" s="0" t="s">
        <v>160</v>
      </c>
      <c r="H279" s="0" t="s">
        <v>13</v>
      </c>
      <c r="I279" s="0" t="s">
        <v>376</v>
      </c>
    </row>
    <row r="280" customFormat="false" ht="15" hidden="false" customHeight="false" outlineLevel="0" collapsed="false">
      <c r="A280" s="0" t="n">
        <v>4.14080432017184E-075</v>
      </c>
      <c r="B280" s="0" t="n">
        <v>0.606738546631094</v>
      </c>
      <c r="C280" s="0" t="n">
        <v>2.61904248941795E-075</v>
      </c>
      <c r="D280" s="0" t="n">
        <v>0.383740709208762</v>
      </c>
      <c r="E280" s="0" t="n">
        <v>0.0095207441601554</v>
      </c>
      <c r="F280" s="0" t="n">
        <v>3432</v>
      </c>
      <c r="G280" s="0" t="s">
        <v>160</v>
      </c>
      <c r="H280" s="0" t="s">
        <v>13</v>
      </c>
      <c r="I280" s="0" t="s">
        <v>377</v>
      </c>
    </row>
    <row r="281" customFormat="false" ht="15" hidden="false" customHeight="false" outlineLevel="0" collapsed="false">
      <c r="A281" s="0" t="n">
        <v>2.8068662777496E-014</v>
      </c>
      <c r="B281" s="0" t="n">
        <v>0.739241090472421</v>
      </c>
      <c r="C281" s="0" t="n">
        <v>8.56792838719846E-015</v>
      </c>
      <c r="D281" s="0" t="n">
        <v>0.225582174912716</v>
      </c>
      <c r="E281" s="0" t="n">
        <v>0.035176734614827</v>
      </c>
      <c r="F281" s="0" t="n">
        <v>3654</v>
      </c>
      <c r="G281" s="0" t="s">
        <v>160</v>
      </c>
      <c r="H281" s="0" t="s">
        <v>13</v>
      </c>
      <c r="I281" s="0" t="s">
        <v>378</v>
      </c>
    </row>
    <row r="282" customFormat="false" ht="15" hidden="false" customHeight="false" outlineLevel="0" collapsed="false">
      <c r="A282" s="0" t="n">
        <v>9.76779331954095E-007</v>
      </c>
      <c r="B282" s="0" t="n">
        <v>0.885565401961461</v>
      </c>
      <c r="C282" s="0" t="n">
        <v>1.21488521739207E-007</v>
      </c>
      <c r="D282" s="0" t="n">
        <v>0.110135043588765</v>
      </c>
      <c r="E282" s="0" t="n">
        <v>0.0042984561819208</v>
      </c>
      <c r="F282" s="0" t="n">
        <v>2928</v>
      </c>
      <c r="G282" s="0" t="s">
        <v>160</v>
      </c>
      <c r="H282" s="0" t="s">
        <v>13</v>
      </c>
      <c r="I282" s="0" t="s">
        <v>379</v>
      </c>
    </row>
    <row r="283" customFormat="false" ht="15" hidden="false" customHeight="false" outlineLevel="0" collapsed="false">
      <c r="A283" s="0" t="n">
        <v>0.000465289526096</v>
      </c>
      <c r="B283" s="0" t="n">
        <v>0.762755995653622</v>
      </c>
      <c r="C283" s="0" t="n">
        <v>0.0001301578879842</v>
      </c>
      <c r="D283" s="0" t="n">
        <v>0.213323098181656</v>
      </c>
      <c r="E283" s="0" t="n">
        <v>0.0233254587506418</v>
      </c>
      <c r="F283" s="0" t="n">
        <v>3324</v>
      </c>
      <c r="G283" s="0" t="s">
        <v>160</v>
      </c>
      <c r="H283" s="0" t="s">
        <v>13</v>
      </c>
      <c r="I283" s="0" t="s">
        <v>380</v>
      </c>
    </row>
    <row r="284" customFormat="false" ht="15" hidden="false" customHeight="false" outlineLevel="0" collapsed="false">
      <c r="A284" s="0" t="n">
        <v>2.72072439902212E-008</v>
      </c>
      <c r="B284" s="0" t="n">
        <v>0.810108934183858</v>
      </c>
      <c r="C284" s="0" t="n">
        <v>5.75533529870981E-009</v>
      </c>
      <c r="D284" s="0" t="n">
        <v>0.171330789706459</v>
      </c>
      <c r="E284" s="0" t="n">
        <v>0.018560243147103</v>
      </c>
      <c r="F284" s="0" t="n">
        <v>3291</v>
      </c>
      <c r="G284" s="0" t="s">
        <v>161</v>
      </c>
      <c r="H284" s="0" t="s">
        <v>13</v>
      </c>
      <c r="I284" s="0" t="s">
        <v>381</v>
      </c>
    </row>
    <row r="285" customFormat="false" ht="15" hidden="false" customHeight="false" outlineLevel="0" collapsed="false">
      <c r="A285" s="0" t="n">
        <v>1.25604180889249E-022</v>
      </c>
      <c r="B285" s="0" t="n">
        <v>0.844848427934324</v>
      </c>
      <c r="C285" s="0" t="n">
        <v>2.22580493349535E-023</v>
      </c>
      <c r="D285" s="0" t="n">
        <v>0.149702892870463</v>
      </c>
      <c r="E285" s="0" t="n">
        <v>0.0054486791952108</v>
      </c>
      <c r="F285" s="0" t="n">
        <v>3938</v>
      </c>
      <c r="G285" s="0" t="s">
        <v>161</v>
      </c>
      <c r="H285" s="0" t="s">
        <v>13</v>
      </c>
      <c r="I285" s="0" t="s">
        <v>382</v>
      </c>
    </row>
    <row r="286" customFormat="false" ht="15" hidden="false" customHeight="false" outlineLevel="0" collapsed="false">
      <c r="A286" s="0" t="n">
        <v>1.45680070242692E-129</v>
      </c>
      <c r="B286" s="0" t="n">
        <v>1.57838301805875E-110</v>
      </c>
      <c r="C286" s="0" t="n">
        <v>3.18006479184507E-021</v>
      </c>
      <c r="D286" s="0" t="n">
        <v>0.0325197198597156</v>
      </c>
      <c r="E286" s="0" t="n">
        <v>0.967480280140311</v>
      </c>
      <c r="F286" s="0" t="n">
        <v>3970</v>
      </c>
      <c r="G286" s="0" t="s">
        <v>161</v>
      </c>
      <c r="H286" s="0" t="s">
        <v>13</v>
      </c>
      <c r="I286" s="0" t="s">
        <v>383</v>
      </c>
    </row>
    <row r="287" customFormat="false" ht="15" hidden="false" customHeight="false" outlineLevel="0" collapsed="false">
      <c r="A287" s="0" t="n">
        <v>1.42306078745214E-006</v>
      </c>
      <c r="B287" s="0" t="n">
        <v>0.835048286692917</v>
      </c>
      <c r="C287" s="0" t="n">
        <v>2.71741917775754E-007</v>
      </c>
      <c r="D287" s="0" t="n">
        <v>0.159446427709555</v>
      </c>
      <c r="E287" s="0" t="n">
        <v>0.0055035907948235</v>
      </c>
      <c r="F287" s="0" t="n">
        <v>3991</v>
      </c>
      <c r="G287" s="0" t="s">
        <v>161</v>
      </c>
      <c r="H287" s="0" t="s">
        <v>13</v>
      </c>
      <c r="I287" s="0" t="s">
        <v>384</v>
      </c>
    </row>
    <row r="288" customFormat="false" ht="15" hidden="false" customHeight="false" outlineLevel="0" collapsed="false">
      <c r="A288" s="0" t="n">
        <v>0.0079128480406846</v>
      </c>
      <c r="B288" s="0" t="n">
        <v>0.846901173306383</v>
      </c>
      <c r="C288" s="0" t="n">
        <v>0.0012708230019919</v>
      </c>
      <c r="D288" s="0" t="n">
        <v>0.135998593782734</v>
      </c>
      <c r="E288" s="0" t="n">
        <v>0.0079165618682058</v>
      </c>
      <c r="F288" s="0" t="n">
        <v>3063</v>
      </c>
      <c r="G288" s="0" t="s">
        <v>161</v>
      </c>
      <c r="H288" s="0" t="s">
        <v>13</v>
      </c>
      <c r="I288" s="0" t="s">
        <v>385</v>
      </c>
    </row>
    <row r="289" customFormat="false" ht="15" hidden="false" customHeight="false" outlineLevel="0" collapsed="false">
      <c r="A289" s="0" t="n">
        <v>1.98018964410142E-010</v>
      </c>
      <c r="B289" s="0" t="n">
        <v>0.848008871346287</v>
      </c>
      <c r="C289" s="0" t="n">
        <v>3.10741228220303E-011</v>
      </c>
      <c r="D289" s="0" t="n">
        <v>0.133035868048288</v>
      </c>
      <c r="E289" s="0" t="n">
        <v>0.0189552603763315</v>
      </c>
      <c r="F289" s="0" t="n">
        <v>2934</v>
      </c>
      <c r="G289" s="0" t="s">
        <v>161</v>
      </c>
      <c r="H289" s="0" t="s">
        <v>13</v>
      </c>
      <c r="I289" s="0" t="s">
        <v>386</v>
      </c>
    </row>
    <row r="290" customFormat="false" ht="15" hidden="false" customHeight="false" outlineLevel="0" collapsed="false">
      <c r="A290" s="0" t="n">
        <v>2.01796479357368E-076</v>
      </c>
      <c r="B290" s="0" t="n">
        <v>0.00123641877619</v>
      </c>
      <c r="C290" s="0" t="n">
        <v>4.6234922351562E-076</v>
      </c>
      <c r="D290" s="0" t="n">
        <v>0.0008369874195818</v>
      </c>
      <c r="E290" s="0" t="n">
        <v>0.997926593804226</v>
      </c>
      <c r="F290" s="0" t="n">
        <v>2322</v>
      </c>
      <c r="G290" s="0" t="s">
        <v>161</v>
      </c>
      <c r="H290" s="0" t="s">
        <v>13</v>
      </c>
      <c r="I290" s="0" t="s">
        <v>321</v>
      </c>
    </row>
    <row r="291" customFormat="false" ht="15" hidden="false" customHeight="false" outlineLevel="0" collapsed="false">
      <c r="A291" s="0" t="n">
        <v>3.44483332977891E-005</v>
      </c>
      <c r="B291" s="0" t="n">
        <v>0.878004815930417</v>
      </c>
      <c r="C291" s="0" t="n">
        <v>4.54292299051803E-006</v>
      </c>
      <c r="D291" s="0" t="n">
        <v>0.115775774094823</v>
      </c>
      <c r="E291" s="0" t="n">
        <v>0.0061804187184735</v>
      </c>
      <c r="F291" s="0" t="n">
        <v>3040</v>
      </c>
      <c r="G291" s="0" t="s">
        <v>161</v>
      </c>
      <c r="H291" s="0" t="s">
        <v>13</v>
      </c>
      <c r="I291" s="0" t="s">
        <v>387</v>
      </c>
    </row>
    <row r="292" customFormat="false" ht="15" hidden="false" customHeight="false" outlineLevel="0" collapsed="false">
      <c r="A292" s="0" t="n">
        <v>1.97722822517407E-013</v>
      </c>
      <c r="B292" s="0" t="n">
        <v>0.841434373687768</v>
      </c>
      <c r="C292" s="0" t="n">
        <v>3.63114077047573E-014</v>
      </c>
      <c r="D292" s="0" t="n">
        <v>0.154519676877463</v>
      </c>
      <c r="E292" s="0" t="n">
        <v>0.0040459494345349</v>
      </c>
      <c r="F292" s="0" t="n">
        <v>3089</v>
      </c>
      <c r="G292" s="0" t="s">
        <v>161</v>
      </c>
      <c r="H292" s="0" t="s">
        <v>13</v>
      </c>
      <c r="I292" s="0" t="s">
        <v>388</v>
      </c>
    </row>
    <row r="293" customFormat="false" ht="15" hidden="false" customHeight="false" outlineLevel="0" collapsed="false">
      <c r="A293" s="0" t="n">
        <v>6.84151615506313E-008</v>
      </c>
      <c r="B293" s="0" t="n">
        <v>0.745665188251855</v>
      </c>
      <c r="C293" s="0" t="n">
        <v>1.02031773007757E-008</v>
      </c>
      <c r="D293" s="0" t="n">
        <v>0.110918841788949</v>
      </c>
      <c r="E293" s="0" t="n">
        <v>0.143415891340858</v>
      </c>
      <c r="F293" s="0" t="n">
        <v>2176</v>
      </c>
      <c r="G293" s="0" t="s">
        <v>161</v>
      </c>
      <c r="H293" s="0" t="s">
        <v>13</v>
      </c>
      <c r="I293" s="0" t="s">
        <v>389</v>
      </c>
    </row>
    <row r="294" customFormat="false" ht="15" hidden="false" customHeight="false" outlineLevel="0" collapsed="false">
      <c r="A294" s="0" t="n">
        <v>1.21984696497559E-034</v>
      </c>
      <c r="B294" s="0" t="n">
        <v>0.877918167601515</v>
      </c>
      <c r="C294" s="0" t="n">
        <v>1.61862237873658E-035</v>
      </c>
      <c r="D294" s="0" t="n">
        <v>0.116480294101305</v>
      </c>
      <c r="E294" s="0" t="n">
        <v>0.0056015382971744</v>
      </c>
      <c r="F294" s="0" t="n">
        <v>3370</v>
      </c>
      <c r="G294" s="0" t="s">
        <v>161</v>
      </c>
      <c r="H294" s="0" t="s">
        <v>13</v>
      </c>
      <c r="I294" s="0" t="s">
        <v>390</v>
      </c>
    </row>
    <row r="295" customFormat="false" ht="15" hidden="false" customHeight="false" outlineLevel="0" collapsed="false">
      <c r="A295" s="0" t="n">
        <v>2.19867070852631E-010</v>
      </c>
      <c r="B295" s="0" t="n">
        <v>0.389037311716339</v>
      </c>
      <c r="C295" s="0" t="n">
        <v>3.43859199857136E-010</v>
      </c>
      <c r="D295" s="0" t="n">
        <v>0.608426459389306</v>
      </c>
      <c r="E295" s="0" t="n">
        <v>0.0025362283306294</v>
      </c>
      <c r="F295" s="0" t="n">
        <v>3038</v>
      </c>
      <c r="G295" s="0" t="s">
        <v>161</v>
      </c>
      <c r="H295" s="0" t="s">
        <v>13</v>
      </c>
      <c r="I295" s="0" t="s">
        <v>391</v>
      </c>
    </row>
    <row r="296" customFormat="false" ht="15" hidden="false" customHeight="false" outlineLevel="0" collapsed="false">
      <c r="A296" s="0" t="n">
        <v>1.03935028030937E-010</v>
      </c>
      <c r="B296" s="0" t="n">
        <v>0.854151306796685</v>
      </c>
      <c r="C296" s="0" t="n">
        <v>1.65981967587643E-011</v>
      </c>
      <c r="D296" s="0" t="n">
        <v>0.136387173351323</v>
      </c>
      <c r="E296" s="0" t="n">
        <v>0.0094615197314573</v>
      </c>
      <c r="F296" s="0" t="n">
        <v>3293</v>
      </c>
      <c r="G296" s="0" t="s">
        <v>161</v>
      </c>
      <c r="H296" s="0" t="s">
        <v>13</v>
      </c>
      <c r="I296" s="0" t="s">
        <v>392</v>
      </c>
    </row>
    <row r="297" customFormat="false" ht="15" hidden="false" customHeight="false" outlineLevel="0" collapsed="false">
      <c r="A297" s="0" t="n">
        <v>1.33044296095517E-005</v>
      </c>
      <c r="B297" s="0" t="n">
        <v>0.83475974457241</v>
      </c>
      <c r="C297" s="0" t="n">
        <v>2.56734500809525E-006</v>
      </c>
      <c r="D297" s="0" t="n">
        <v>0.161074612395944</v>
      </c>
      <c r="E297" s="0" t="n">
        <v>0.0041497712570277</v>
      </c>
      <c r="F297" s="0" t="n">
        <v>4108</v>
      </c>
      <c r="G297" s="0" t="s">
        <v>161</v>
      </c>
      <c r="H297" s="0" t="s">
        <v>13</v>
      </c>
      <c r="I297" s="0" t="s">
        <v>393</v>
      </c>
    </row>
    <row r="298" customFormat="false" ht="15" hidden="false" customHeight="false" outlineLevel="0" collapsed="false">
      <c r="A298" s="0" t="n">
        <v>5.82037192759162E-012</v>
      </c>
      <c r="B298" s="0" t="n">
        <v>0.805500527190496</v>
      </c>
      <c r="C298" s="0" t="n">
        <v>1.3536589642078E-012</v>
      </c>
      <c r="D298" s="0" t="n">
        <v>0.18732298953844</v>
      </c>
      <c r="E298" s="0" t="n">
        <v>0.0071764832638894</v>
      </c>
      <c r="F298" s="0" t="n">
        <v>4127</v>
      </c>
      <c r="G298" s="0" t="s">
        <v>161</v>
      </c>
      <c r="H298" s="0" t="s">
        <v>13</v>
      </c>
      <c r="I298" s="0" t="s">
        <v>394</v>
      </c>
    </row>
    <row r="299" customFormat="false" ht="15" hidden="false" customHeight="false" outlineLevel="0" collapsed="false">
      <c r="A299" s="0" t="n">
        <v>2.38252857646706E-015</v>
      </c>
      <c r="B299" s="0" t="n">
        <v>0.847437684839406</v>
      </c>
      <c r="C299" s="0" t="n">
        <v>4.16449289135149E-016</v>
      </c>
      <c r="D299" s="0" t="n">
        <v>0.148117275088892</v>
      </c>
      <c r="E299" s="0" t="n">
        <v>0.0044450400716979</v>
      </c>
      <c r="F299" s="0" t="n">
        <v>3839</v>
      </c>
      <c r="G299" s="0" t="s">
        <v>161</v>
      </c>
      <c r="H299" s="0" t="s">
        <v>13</v>
      </c>
      <c r="I299" s="0" t="s">
        <v>395</v>
      </c>
    </row>
    <row r="300" customFormat="false" ht="15" hidden="false" customHeight="false" outlineLevel="0" collapsed="false">
      <c r="A300" s="0" t="n">
        <v>5.53573115349345E-006</v>
      </c>
      <c r="B300" s="0" t="n">
        <v>7.20527666146122E-006</v>
      </c>
      <c r="C300" s="0" t="n">
        <v>0.059611818830365</v>
      </c>
      <c r="D300" s="0" t="n">
        <v>0.0758613813614841</v>
      </c>
      <c r="E300" s="0" t="n">
        <v>0.864514058800336</v>
      </c>
      <c r="F300" s="0" t="n">
        <v>4779</v>
      </c>
      <c r="G300" s="0" t="s">
        <v>161</v>
      </c>
      <c r="H300" s="0" t="s">
        <v>13</v>
      </c>
      <c r="I300" s="0" t="s">
        <v>190</v>
      </c>
    </row>
    <row r="301" customFormat="false" ht="15" hidden="false" customHeight="false" outlineLevel="0" collapsed="false">
      <c r="A301" s="0" t="n">
        <v>9.05300893595019E-005</v>
      </c>
      <c r="B301" s="0" t="n">
        <v>0.288551368624981</v>
      </c>
      <c r="C301" s="0" t="n">
        <v>5.53967675610572E-005</v>
      </c>
      <c r="D301" s="0" t="n">
        <v>0.175497453000991</v>
      </c>
      <c r="E301" s="0" t="n">
        <v>0.535805251517108</v>
      </c>
      <c r="F301" s="0" t="n">
        <v>3277</v>
      </c>
      <c r="G301" s="0" t="s">
        <v>161</v>
      </c>
      <c r="H301" s="0" t="s">
        <v>13</v>
      </c>
      <c r="I301" s="0" t="s">
        <v>396</v>
      </c>
    </row>
    <row r="302" customFormat="false" ht="15" hidden="false" customHeight="false" outlineLevel="0" collapsed="false">
      <c r="A302" s="0" t="n">
        <v>2.05876288227594E-013</v>
      </c>
      <c r="B302" s="0" t="n">
        <v>0.828634556557828</v>
      </c>
      <c r="C302" s="0" t="n">
        <v>4.1245314973353E-014</v>
      </c>
      <c r="D302" s="0" t="n">
        <v>0.165998151515987</v>
      </c>
      <c r="E302" s="0" t="n">
        <v>0.0053672919259374</v>
      </c>
      <c r="F302" s="0" t="n">
        <v>3868</v>
      </c>
      <c r="G302" s="0" t="s">
        <v>161</v>
      </c>
      <c r="H302" s="0" t="s">
        <v>13</v>
      </c>
      <c r="I302" s="0" t="s">
        <v>397</v>
      </c>
    </row>
    <row r="303" customFormat="false" ht="15" hidden="false" customHeight="false" outlineLevel="0" collapsed="false">
      <c r="A303" s="0" t="n">
        <v>0.000484356581416</v>
      </c>
      <c r="B303" s="0" t="n">
        <v>0.8685445955206</v>
      </c>
      <c r="C303" s="0" t="n">
        <v>6.67278552229496E-005</v>
      </c>
      <c r="D303" s="0" t="n">
        <v>0.119633348465388</v>
      </c>
      <c r="E303" s="0" t="n">
        <v>0.0112709715773725</v>
      </c>
      <c r="F303" s="0" t="n">
        <v>2476</v>
      </c>
      <c r="G303" s="0" t="s">
        <v>161</v>
      </c>
      <c r="H303" s="0" t="s">
        <v>13</v>
      </c>
      <c r="I303" s="0" t="s">
        <v>398</v>
      </c>
    </row>
    <row r="304" customFormat="false" ht="15" hidden="false" customHeight="false" outlineLevel="0" collapsed="false">
      <c r="A304" s="0" t="n">
        <v>1.83489293826516E-148</v>
      </c>
      <c r="B304" s="0" t="n">
        <v>4.02326213491366E-108</v>
      </c>
      <c r="C304" s="0" t="n">
        <v>4.56070928906249E-041</v>
      </c>
      <c r="D304" s="0" t="n">
        <v>0.999999978614426</v>
      </c>
      <c r="E304" s="0" t="n">
        <v>2.13855475247403E-008</v>
      </c>
      <c r="F304" s="0" t="n">
        <v>2228</v>
      </c>
      <c r="G304" s="0" t="s">
        <v>161</v>
      </c>
      <c r="H304" s="0" t="s">
        <v>13</v>
      </c>
      <c r="I304" s="0" t="s">
        <v>399</v>
      </c>
    </row>
    <row r="305" customFormat="false" ht="15" hidden="false" customHeight="false" outlineLevel="0" collapsed="false">
      <c r="A305" s="0" t="n">
        <v>0.0078155995350347</v>
      </c>
      <c r="B305" s="0" t="n">
        <v>0.0009316698029651</v>
      </c>
      <c r="C305" s="0" t="n">
        <v>0.878567584017707</v>
      </c>
      <c r="D305" s="0" t="n">
        <v>0.104714974311867</v>
      </c>
      <c r="E305" s="0" t="n">
        <v>0.0079701723324264</v>
      </c>
      <c r="F305" s="0" t="n">
        <v>3160</v>
      </c>
      <c r="G305" s="0" t="s">
        <v>161</v>
      </c>
      <c r="H305" s="0" t="s">
        <v>13</v>
      </c>
      <c r="I305" s="0" t="s">
        <v>176</v>
      </c>
    </row>
    <row r="306" customFormat="false" ht="15" hidden="false" customHeight="false" outlineLevel="0" collapsed="false">
      <c r="A306" s="0" t="n">
        <v>1.20209322272679E-015</v>
      </c>
      <c r="B306" s="0" t="n">
        <v>0.764958229744332</v>
      </c>
      <c r="C306" s="0" t="n">
        <v>3.53495968599724E-016</v>
      </c>
      <c r="D306" s="0" t="n">
        <v>0.22492875900581</v>
      </c>
      <c r="E306" s="0" t="n">
        <v>0.0101130112498573</v>
      </c>
      <c r="F306" s="0" t="n">
        <v>4784</v>
      </c>
      <c r="G306" s="0" t="s">
        <v>161</v>
      </c>
      <c r="H306" s="0" t="s">
        <v>13</v>
      </c>
      <c r="I306" s="0" t="s">
        <v>400</v>
      </c>
    </row>
    <row r="307" customFormat="false" ht="15" hidden="false" customHeight="false" outlineLevel="0" collapsed="false">
      <c r="A307" s="0" t="n">
        <v>3.02726853243991E-007</v>
      </c>
      <c r="B307" s="0" t="n">
        <v>0.757874264736513</v>
      </c>
      <c r="C307" s="0" t="n">
        <v>8.8767656769716E-008</v>
      </c>
      <c r="D307" s="0" t="n">
        <v>0.222189249164984</v>
      </c>
      <c r="E307" s="0" t="n">
        <v>0.0199360946039922</v>
      </c>
      <c r="F307" s="0" t="n">
        <v>3210</v>
      </c>
      <c r="G307" s="0" t="s">
        <v>161</v>
      </c>
      <c r="H307" s="0" t="s">
        <v>13</v>
      </c>
      <c r="I307" s="0" t="s">
        <v>401</v>
      </c>
    </row>
    <row r="308" customFormat="false" ht="15" hidden="false" customHeight="false" outlineLevel="0" collapsed="false">
      <c r="A308" s="0" t="n">
        <v>4.6935262979852E-006</v>
      </c>
      <c r="B308" s="0" t="n">
        <v>0.838012161846286</v>
      </c>
      <c r="C308" s="0" t="n">
        <v>8.44156675157034E-007</v>
      </c>
      <c r="D308" s="0" t="n">
        <v>0.150698556753201</v>
      </c>
      <c r="E308" s="0" t="n">
        <v>0.0112837437175406</v>
      </c>
      <c r="F308" s="0" t="n">
        <v>4204</v>
      </c>
      <c r="G308" s="0" t="s">
        <v>161</v>
      </c>
      <c r="H308" s="0" t="s">
        <v>13</v>
      </c>
      <c r="I308" s="0" t="s">
        <v>402</v>
      </c>
    </row>
    <row r="309" customFormat="false" ht="15" hidden="false" customHeight="false" outlineLevel="0" collapsed="false">
      <c r="A309" s="0" t="n">
        <v>2.38009747185644E-015</v>
      </c>
      <c r="B309" s="0" t="n">
        <v>0.843802463967792</v>
      </c>
      <c r="C309" s="0" t="n">
        <v>4.0183435565761E-016</v>
      </c>
      <c r="D309" s="0" t="n">
        <v>0.142432526099741</v>
      </c>
      <c r="E309" s="0" t="n">
        <v>0.0137650099324637</v>
      </c>
      <c r="F309" s="0" t="n">
        <v>3548</v>
      </c>
      <c r="G309" s="0" t="s">
        <v>161</v>
      </c>
      <c r="H309" s="0" t="s">
        <v>13</v>
      </c>
      <c r="I309" s="0" t="s">
        <v>403</v>
      </c>
    </row>
    <row r="310" customFormat="false" ht="15" hidden="false" customHeight="false" outlineLevel="0" collapsed="false">
      <c r="A310" s="0" t="n">
        <v>0.0015764300441363</v>
      </c>
      <c r="B310" s="0" t="n">
        <v>0.634462816663189</v>
      </c>
      <c r="C310" s="0" t="n">
        <v>0.0008857435400893</v>
      </c>
      <c r="D310" s="0" t="n">
        <v>0.356470317033376</v>
      </c>
      <c r="E310" s="0" t="n">
        <v>0.0066046927192096</v>
      </c>
      <c r="F310" s="0" t="n">
        <v>3644</v>
      </c>
      <c r="G310" s="0" t="s">
        <v>161</v>
      </c>
      <c r="H310" s="0" t="s">
        <v>13</v>
      </c>
      <c r="I310" s="0" t="s">
        <v>404</v>
      </c>
    </row>
    <row r="311" customFormat="false" ht="15" hidden="false" customHeight="false" outlineLevel="0" collapsed="false">
      <c r="A311" s="0" t="n">
        <v>0.0006152637354738</v>
      </c>
      <c r="B311" s="0" t="n">
        <v>0.835430050294303</v>
      </c>
      <c r="C311" s="0" t="n">
        <v>0.0001159375004785</v>
      </c>
      <c r="D311" s="0" t="n">
        <v>0.157411785739359</v>
      </c>
      <c r="E311" s="0" t="n">
        <v>0.006426962730386</v>
      </c>
      <c r="F311" s="0" t="n">
        <v>3933</v>
      </c>
      <c r="G311" s="0" t="s">
        <v>161</v>
      </c>
      <c r="H311" s="0" t="s">
        <v>13</v>
      </c>
      <c r="I311" s="0" t="s">
        <v>405</v>
      </c>
    </row>
    <row r="312" customFormat="false" ht="15" hidden="false" customHeight="false" outlineLevel="0" collapsed="false">
      <c r="A312" s="0" t="n">
        <v>0.0006895825729695</v>
      </c>
      <c r="B312" s="0" t="n">
        <v>0.865714068556874</v>
      </c>
      <c r="C312" s="0" t="n">
        <v>9.03927951628532E-005</v>
      </c>
      <c r="D312" s="0" t="n">
        <v>0.11344057123192</v>
      </c>
      <c r="E312" s="0" t="n">
        <v>0.0200653848430737</v>
      </c>
      <c r="F312" s="0" t="n">
        <v>1791</v>
      </c>
      <c r="G312" s="0" t="s">
        <v>161</v>
      </c>
      <c r="H312" s="0" t="s">
        <v>13</v>
      </c>
      <c r="I312" s="0" t="s">
        <v>350</v>
      </c>
    </row>
    <row r="313" customFormat="false" ht="15" hidden="false" customHeight="false" outlineLevel="0" collapsed="false">
      <c r="A313" s="0" t="n">
        <v>3.24890075245044E-018</v>
      </c>
      <c r="B313" s="0" t="n">
        <v>0.830322097224551</v>
      </c>
      <c r="C313" s="0" t="n">
        <v>6.46299206950358E-019</v>
      </c>
      <c r="D313" s="0" t="n">
        <v>0.165165769868736</v>
      </c>
      <c r="E313" s="0" t="n">
        <v>0.0045121329067116</v>
      </c>
      <c r="F313" s="0" t="n">
        <v>3742</v>
      </c>
      <c r="G313" s="0" t="s">
        <v>161</v>
      </c>
      <c r="H313" s="0" t="s">
        <v>13</v>
      </c>
      <c r="I313" s="0" t="s">
        <v>406</v>
      </c>
    </row>
    <row r="314" customFormat="false" ht="15" hidden="false" customHeight="false" outlineLevel="0" collapsed="false">
      <c r="A314" s="0" t="n">
        <v>2.80412869145632E-009</v>
      </c>
      <c r="B314" s="0" t="n">
        <v>0.827609908531736</v>
      </c>
      <c r="C314" s="0" t="n">
        <v>5.41109746586963E-010</v>
      </c>
      <c r="D314" s="0" t="n">
        <v>0.159677583359139</v>
      </c>
      <c r="E314" s="0" t="n">
        <v>0.012712504763888</v>
      </c>
      <c r="F314" s="0" t="n">
        <v>3310</v>
      </c>
      <c r="G314" s="0" t="s">
        <v>161</v>
      </c>
      <c r="H314" s="0" t="s">
        <v>13</v>
      </c>
      <c r="I314" s="0" t="s">
        <v>407</v>
      </c>
    </row>
    <row r="315" customFormat="false" ht="15" hidden="false" customHeight="false" outlineLevel="0" collapsed="false">
      <c r="A315" s="0" t="n">
        <v>3.99700961582079E-012</v>
      </c>
      <c r="B315" s="0" t="n">
        <v>0.817864108299123</v>
      </c>
      <c r="C315" s="0" t="n">
        <v>7.7733822547433E-013</v>
      </c>
      <c r="D315" s="0" t="n">
        <v>0.159011921975377</v>
      </c>
      <c r="E315" s="0" t="n">
        <v>0.023123969720727</v>
      </c>
      <c r="F315" s="0" t="n">
        <v>3553</v>
      </c>
      <c r="G315" s="0" t="s">
        <v>161</v>
      </c>
      <c r="H315" s="0" t="s">
        <v>13</v>
      </c>
      <c r="I315" s="0" t="s">
        <v>408</v>
      </c>
    </row>
    <row r="316" customFormat="false" ht="15" hidden="false" customHeight="false" outlineLevel="0" collapsed="false">
      <c r="A316" s="0" t="n">
        <v>1.18241749449414E-044</v>
      </c>
      <c r="B316" s="0" t="n">
        <v>0.883820379169093</v>
      </c>
      <c r="C316" s="0" t="n">
        <v>1.48487271068226E-045</v>
      </c>
      <c r="D316" s="0" t="n">
        <v>0.11097922582529</v>
      </c>
      <c r="E316" s="0" t="n">
        <v>0.0052003950056185</v>
      </c>
      <c r="F316" s="0" t="n">
        <v>3239</v>
      </c>
      <c r="G316" s="0" t="s">
        <v>161</v>
      </c>
      <c r="H316" s="0" t="s">
        <v>13</v>
      </c>
      <c r="I316" s="0" t="s">
        <v>409</v>
      </c>
    </row>
    <row r="317" customFormat="false" ht="15" hidden="false" customHeight="false" outlineLevel="0" collapsed="false">
      <c r="A317" s="0" t="n">
        <v>7.82709959732429E-009</v>
      </c>
      <c r="B317" s="0" t="n">
        <v>0.765286898484897</v>
      </c>
      <c r="C317" s="0" t="n">
        <v>1.86571256467602E-009</v>
      </c>
      <c r="D317" s="0" t="n">
        <v>0.182313395793975</v>
      </c>
      <c r="E317" s="0" t="n">
        <v>0.0523996960283145</v>
      </c>
      <c r="F317" s="0" t="n">
        <v>4169</v>
      </c>
      <c r="G317" s="0" t="s">
        <v>161</v>
      </c>
      <c r="H317" s="0" t="s">
        <v>13</v>
      </c>
      <c r="I317" s="0" t="s">
        <v>410</v>
      </c>
    </row>
    <row r="318" customFormat="false" ht="15" hidden="false" customHeight="false" outlineLevel="0" collapsed="false">
      <c r="A318" s="0" t="n">
        <v>2.02938412821478E-013</v>
      </c>
      <c r="B318" s="0" t="n">
        <v>0.556887369788766</v>
      </c>
      <c r="C318" s="0" t="n">
        <v>1.59786038927148E-013</v>
      </c>
      <c r="D318" s="0" t="n">
        <v>0.438462775191731</v>
      </c>
      <c r="E318" s="0" t="n">
        <v>0.0046498550191423</v>
      </c>
      <c r="F318" s="0" t="n">
        <v>2373</v>
      </c>
      <c r="G318" s="0" t="s">
        <v>161</v>
      </c>
      <c r="H318" s="0" t="s">
        <v>13</v>
      </c>
      <c r="I318" s="0" t="s">
        <v>411</v>
      </c>
    </row>
    <row r="319" customFormat="false" ht="15" hidden="false" customHeight="false" outlineLevel="0" collapsed="false">
      <c r="A319" s="0" t="n">
        <v>0.0001042144655109</v>
      </c>
      <c r="B319" s="0" t="n">
        <v>0.759181643507995</v>
      </c>
      <c r="C319" s="0" t="n">
        <v>3.21476677074951E-005</v>
      </c>
      <c r="D319" s="0" t="n">
        <v>0.23417635086605</v>
      </c>
      <c r="E319" s="0" t="n">
        <v>0.006505643492737</v>
      </c>
      <c r="F319" s="0" t="n">
        <v>4543</v>
      </c>
      <c r="G319" s="0" t="s">
        <v>161</v>
      </c>
      <c r="H319" s="0" t="s">
        <v>13</v>
      </c>
      <c r="I319" s="0" t="s">
        <v>412</v>
      </c>
    </row>
    <row r="320" customFormat="false" ht="15" hidden="false" customHeight="false" outlineLevel="0" collapsed="false">
      <c r="A320" s="0" t="n">
        <v>0.0006068551846452</v>
      </c>
      <c r="B320" s="0" t="n">
        <v>0.642602145899651</v>
      </c>
      <c r="C320" s="0" t="n">
        <v>0.0003312273812311</v>
      </c>
      <c r="D320" s="0" t="n">
        <v>0.35072694995475</v>
      </c>
      <c r="E320" s="0" t="n">
        <v>0.005732821579723</v>
      </c>
      <c r="F320" s="0" t="n">
        <v>8770</v>
      </c>
      <c r="G320" s="0" t="s">
        <v>161</v>
      </c>
      <c r="H320" s="0" t="s">
        <v>13</v>
      </c>
      <c r="I320" s="0" t="s">
        <v>413</v>
      </c>
    </row>
    <row r="321" customFormat="false" ht="15" hidden="false" customHeight="false" outlineLevel="0" collapsed="false">
      <c r="A321" s="0" t="n">
        <v>1.29062672943482E-019</v>
      </c>
      <c r="B321" s="0" t="n">
        <v>1.23914079733998E-013</v>
      </c>
      <c r="C321" s="0" t="n">
        <v>2.98666536240689E-007</v>
      </c>
      <c r="D321" s="0" t="n">
        <v>0.285322718819113</v>
      </c>
      <c r="E321" s="0" t="n">
        <v>0.714676982514226</v>
      </c>
      <c r="F321" s="0" t="n">
        <v>6435</v>
      </c>
      <c r="G321" s="0" t="s">
        <v>161</v>
      </c>
      <c r="H321" s="0" t="s">
        <v>13</v>
      </c>
      <c r="I321" s="0" t="s">
        <v>414</v>
      </c>
    </row>
    <row r="322" customFormat="false" ht="15" hidden="false" customHeight="false" outlineLevel="0" collapsed="false">
      <c r="A322" s="0" t="n">
        <v>0.0008622602611182</v>
      </c>
      <c r="B322" s="0" t="n">
        <v>0.880305998502521</v>
      </c>
      <c r="C322" s="0" t="n">
        <v>0.0001070433556269</v>
      </c>
      <c r="D322" s="0" t="n">
        <v>0.109264682969624</v>
      </c>
      <c r="E322" s="0" t="n">
        <v>0.0094600149111103</v>
      </c>
      <c r="F322" s="0" t="n">
        <v>2778</v>
      </c>
      <c r="G322" s="0" t="s">
        <v>161</v>
      </c>
      <c r="H322" s="0" t="s">
        <v>13</v>
      </c>
      <c r="I322" s="0" t="s">
        <v>415</v>
      </c>
    </row>
    <row r="323" customFormat="false" ht="15" hidden="false" customHeight="false" outlineLevel="0" collapsed="false">
      <c r="A323" s="0" t="n">
        <v>0.0106027149425163</v>
      </c>
      <c r="B323" s="0" t="n">
        <v>0.0083075690822328</v>
      </c>
      <c r="C323" s="0" t="n">
        <v>0.547559842625212</v>
      </c>
      <c r="D323" s="0" t="n">
        <v>0.429021778652088</v>
      </c>
      <c r="E323" s="0" t="n">
        <v>0.0045080946979502</v>
      </c>
      <c r="F323" s="0" t="n">
        <v>3219</v>
      </c>
      <c r="G323" s="0" t="s">
        <v>161</v>
      </c>
      <c r="H323" s="0" t="s">
        <v>13</v>
      </c>
      <c r="I323" s="0" t="s">
        <v>185</v>
      </c>
    </row>
    <row r="324" customFormat="false" ht="15" hidden="false" customHeight="false" outlineLevel="0" collapsed="false">
      <c r="A324" s="0" t="n">
        <v>7.97282497970615E-010</v>
      </c>
      <c r="B324" s="0" t="n">
        <v>0.889232431136052</v>
      </c>
      <c r="C324" s="0" t="n">
        <v>9.31908385732095E-011</v>
      </c>
      <c r="D324" s="0" t="n">
        <v>0.103924775569166</v>
      </c>
      <c r="E324" s="0" t="n">
        <v>0.0068427924043097</v>
      </c>
      <c r="F324" s="0" t="n">
        <v>2474</v>
      </c>
      <c r="G324" s="0" t="s">
        <v>161</v>
      </c>
      <c r="H324" s="0" t="s">
        <v>13</v>
      </c>
      <c r="I324" s="0" t="s">
        <v>416</v>
      </c>
    </row>
    <row r="325" customFormat="false" ht="15" hidden="false" customHeight="false" outlineLevel="0" collapsed="false">
      <c r="A325" s="0" t="n">
        <v>2.62999651740768E-005</v>
      </c>
      <c r="B325" s="0" t="n">
        <v>0.894999498468819</v>
      </c>
      <c r="C325" s="0" t="n">
        <v>2.9162707340861E-006</v>
      </c>
      <c r="D325" s="0" t="n">
        <v>0.0992305070595062</v>
      </c>
      <c r="E325" s="0" t="n">
        <v>0.0057407782357671</v>
      </c>
      <c r="F325" s="0" t="n">
        <v>2921</v>
      </c>
      <c r="G325" s="0" t="s">
        <v>161</v>
      </c>
      <c r="H325" s="0" t="s">
        <v>13</v>
      </c>
      <c r="I325" s="0" t="s">
        <v>417</v>
      </c>
    </row>
    <row r="326" customFormat="false" ht="15" hidden="false" customHeight="false" outlineLevel="0" collapsed="false">
      <c r="A326" s="0" t="n">
        <v>0.0007122037358522</v>
      </c>
      <c r="B326" s="0" t="n">
        <v>0.897075293973886</v>
      </c>
      <c r="C326" s="0" t="n">
        <v>7.64800969904241E-005</v>
      </c>
      <c r="D326" s="0" t="n">
        <v>0.0963209247146868</v>
      </c>
      <c r="E326" s="0" t="n">
        <v>0.0058150974785852</v>
      </c>
      <c r="F326" s="0" t="n">
        <v>2367</v>
      </c>
      <c r="G326" s="0" t="s">
        <v>161</v>
      </c>
      <c r="H326" s="0" t="s">
        <v>13</v>
      </c>
      <c r="I326" s="0" t="s">
        <v>418</v>
      </c>
    </row>
    <row r="327" customFormat="false" ht="15" hidden="false" customHeight="false" outlineLevel="0" collapsed="false">
      <c r="A327" s="0" t="n">
        <v>7.18384412595293E-008</v>
      </c>
      <c r="B327" s="0" t="n">
        <v>0.837398385657431</v>
      </c>
      <c r="C327" s="0" t="n">
        <v>1.09081611171075E-008</v>
      </c>
      <c r="D327" s="0" t="n">
        <v>0.127082005331563</v>
      </c>
      <c r="E327" s="0" t="n">
        <v>0.0355195262644033</v>
      </c>
      <c r="F327" s="0" t="n">
        <v>3081</v>
      </c>
      <c r="G327" s="0" t="s">
        <v>161</v>
      </c>
      <c r="H327" s="0" t="s">
        <v>13</v>
      </c>
      <c r="I327" s="0" t="s">
        <v>419</v>
      </c>
    </row>
    <row r="328" customFormat="false" ht="15" hidden="false" customHeight="false" outlineLevel="0" collapsed="false">
      <c r="A328" s="0" t="n">
        <v>6.92766126771962E-015</v>
      </c>
      <c r="B328" s="0" t="n">
        <v>0.17283006467329</v>
      </c>
      <c r="C328" s="0" t="n">
        <v>1.00665595230779E-014</v>
      </c>
      <c r="D328" s="0" t="n">
        <v>0.249984370528854</v>
      </c>
      <c r="E328" s="0" t="n">
        <v>0.577185564797838</v>
      </c>
      <c r="F328" s="0" t="n">
        <v>3415</v>
      </c>
      <c r="G328" s="0" t="s">
        <v>161</v>
      </c>
      <c r="H328" s="0" t="s">
        <v>13</v>
      </c>
      <c r="I328" s="0" t="s">
        <v>420</v>
      </c>
    </row>
    <row r="329" customFormat="false" ht="15" hidden="false" customHeight="false" outlineLevel="0" collapsed="false">
      <c r="A329" s="0" t="n">
        <v>2.44787431490592E-005</v>
      </c>
      <c r="B329" s="0" t="n">
        <v>0.869166257644224</v>
      </c>
      <c r="C329" s="0" t="n">
        <v>3.34646632650812E-006</v>
      </c>
      <c r="D329" s="0" t="n">
        <v>0.118798900838128</v>
      </c>
      <c r="E329" s="0" t="n">
        <v>0.012007016308173</v>
      </c>
      <c r="F329" s="0" t="n">
        <v>3513</v>
      </c>
      <c r="G329" s="0" t="s">
        <v>161</v>
      </c>
      <c r="H329" s="0" t="s">
        <v>13</v>
      </c>
      <c r="I329" s="0" t="s">
        <v>421</v>
      </c>
    </row>
    <row r="330" customFormat="false" ht="15" hidden="false" customHeight="false" outlineLevel="0" collapsed="false">
      <c r="A330" s="0" t="n">
        <v>0.0149372032105124</v>
      </c>
      <c r="B330" s="0" t="n">
        <v>0.0030100605719937</v>
      </c>
      <c r="C330" s="0" t="n">
        <v>0.815574222953768</v>
      </c>
      <c r="D330" s="0" t="n">
        <v>0.164345631432612</v>
      </c>
      <c r="E330" s="0" t="n">
        <v>0.0021328818311139</v>
      </c>
      <c r="F330" s="0" t="n">
        <v>4272</v>
      </c>
      <c r="G330" s="0" t="s">
        <v>161</v>
      </c>
      <c r="H330" s="0" t="s">
        <v>13</v>
      </c>
      <c r="I330" s="0" t="s">
        <v>187</v>
      </c>
    </row>
    <row r="331" customFormat="false" ht="15" hidden="false" customHeight="false" outlineLevel="0" collapsed="false">
      <c r="A331" s="0" t="n">
        <v>0.0098655798469557</v>
      </c>
      <c r="B331" s="0" t="n">
        <v>0.868578936702793</v>
      </c>
      <c r="C331" s="0" t="n">
        <v>0.0012783214568252</v>
      </c>
      <c r="D331" s="0" t="n">
        <v>0.112529647675391</v>
      </c>
      <c r="E331" s="0" t="n">
        <v>0.0077475143180354</v>
      </c>
      <c r="F331" s="0" t="n">
        <v>3139</v>
      </c>
      <c r="G331" s="0" t="s">
        <v>161</v>
      </c>
      <c r="H331" s="0" t="s">
        <v>13</v>
      </c>
      <c r="I331" s="0" t="s">
        <v>422</v>
      </c>
    </row>
    <row r="332" customFormat="false" ht="15" hidden="false" customHeight="false" outlineLevel="0" collapsed="false">
      <c r="A332" s="0" t="n">
        <v>2.75012959816705E-024</v>
      </c>
      <c r="B332" s="0" t="n">
        <v>0.607265757678444</v>
      </c>
      <c r="C332" s="0" t="n">
        <v>1.73518990629896E-024</v>
      </c>
      <c r="D332" s="0" t="n">
        <v>0.383134166098698</v>
      </c>
      <c r="E332" s="0" t="n">
        <v>0.0096000762228547</v>
      </c>
      <c r="F332" s="0" t="n">
        <v>3431</v>
      </c>
      <c r="G332" s="0" t="s">
        <v>161</v>
      </c>
      <c r="H332" s="0" t="s">
        <v>13</v>
      </c>
      <c r="I332" s="0" t="s">
        <v>423</v>
      </c>
    </row>
    <row r="333" customFormat="false" ht="15" hidden="false" customHeight="false" outlineLevel="0" collapsed="false">
      <c r="A333" s="0" t="n">
        <v>0.0002853259706918</v>
      </c>
      <c r="B333" s="0" t="n">
        <v>0.154218381460144</v>
      </c>
      <c r="C333" s="0" t="n">
        <v>0.001559541082322</v>
      </c>
      <c r="D333" s="0" t="n">
        <v>0.842928267131102</v>
      </c>
      <c r="E333" s="0" t="n">
        <v>0.0010084843557409</v>
      </c>
      <c r="F333" s="0" t="n">
        <v>3297</v>
      </c>
      <c r="G333" s="0" t="s">
        <v>161</v>
      </c>
      <c r="H333" s="0" t="s">
        <v>13</v>
      </c>
      <c r="I333" s="0" t="s">
        <v>424</v>
      </c>
    </row>
    <row r="334" customFormat="false" ht="15" hidden="false" customHeight="false" outlineLevel="0" collapsed="false">
      <c r="A334" s="0" t="n">
        <v>0.000149826247311</v>
      </c>
      <c r="B334" s="0" t="n">
        <v>2.48868942494904E-005</v>
      </c>
      <c r="C334" s="0" t="n">
        <v>0.838854606532779</v>
      </c>
      <c r="D334" s="0" t="n">
        <v>0.13929462276008</v>
      </c>
      <c r="E334" s="0" t="n">
        <v>0.0216760575655809</v>
      </c>
      <c r="F334" s="0" t="n">
        <v>3909</v>
      </c>
      <c r="G334" s="0" t="s">
        <v>161</v>
      </c>
      <c r="H334" s="0" t="s">
        <v>13</v>
      </c>
      <c r="I334" s="0" t="s">
        <v>191</v>
      </c>
    </row>
    <row r="335" customFormat="false" ht="15" hidden="false" customHeight="false" outlineLevel="0" collapsed="false">
      <c r="A335" s="0" t="n">
        <v>0.0055018937891562</v>
      </c>
      <c r="B335" s="0" t="n">
        <v>0.788724131090715</v>
      </c>
      <c r="C335" s="0" t="n">
        <v>0.0013438500199045</v>
      </c>
      <c r="D335" s="0" t="n">
        <v>0.192624043331824</v>
      </c>
      <c r="E335" s="0" t="n">
        <v>0.0118060817684006</v>
      </c>
      <c r="F335" s="0" t="n">
        <v>4011</v>
      </c>
      <c r="G335" s="0" t="s">
        <v>162</v>
      </c>
      <c r="H335" s="0" t="s">
        <v>13</v>
      </c>
      <c r="I335" s="0" t="s">
        <v>425</v>
      </c>
    </row>
    <row r="336" customFormat="false" ht="15" hidden="false" customHeight="false" outlineLevel="0" collapsed="false">
      <c r="A336" s="0" t="n">
        <v>1.59646547770065E-054</v>
      </c>
      <c r="B336" s="0" t="n">
        <v>0.728437073167552</v>
      </c>
      <c r="C336" s="0" t="n">
        <v>4.31610904316115E-055</v>
      </c>
      <c r="D336" s="0" t="n">
        <v>0.196786358273921</v>
      </c>
      <c r="E336" s="0" t="n">
        <v>0.0747765685585325</v>
      </c>
      <c r="F336" s="0" t="n">
        <v>3390</v>
      </c>
      <c r="G336" s="0" t="s">
        <v>162</v>
      </c>
      <c r="H336" s="0" t="s">
        <v>13</v>
      </c>
      <c r="I336" s="0" t="s">
        <v>193</v>
      </c>
    </row>
    <row r="337" customFormat="false" ht="15" hidden="false" customHeight="false" outlineLevel="0" collapsed="false">
      <c r="A337" s="0" t="n">
        <v>0.0007529551674372</v>
      </c>
      <c r="B337" s="0" t="n">
        <v>0.840001692655904</v>
      </c>
      <c r="C337" s="0" t="n">
        <v>0.0001051947252102</v>
      </c>
      <c r="D337" s="0" t="n">
        <v>0.117272185173396</v>
      </c>
      <c r="E337" s="0" t="n">
        <v>0.0418679722780531</v>
      </c>
      <c r="F337" s="0" t="n">
        <v>2914</v>
      </c>
      <c r="G337" s="0" t="s">
        <v>162</v>
      </c>
      <c r="H337" s="0" t="s">
        <v>13</v>
      </c>
      <c r="I337" s="0" t="s">
        <v>426</v>
      </c>
    </row>
    <row r="338" customFormat="false" ht="15" hidden="false" customHeight="false" outlineLevel="0" collapsed="false">
      <c r="A338" s="0" t="n">
        <v>4.11359804424879E-109</v>
      </c>
      <c r="B338" s="0" t="n">
        <v>4.30118173968728E-110</v>
      </c>
      <c r="C338" s="0" t="n">
        <v>0.897961422350055</v>
      </c>
      <c r="D338" s="0" t="n">
        <v>0.0938745974827947</v>
      </c>
      <c r="E338" s="0" t="n">
        <v>0.0081639801671578</v>
      </c>
      <c r="F338" s="0" t="n">
        <v>3949</v>
      </c>
      <c r="G338" s="0" t="s">
        <v>162</v>
      </c>
      <c r="H338" s="0" t="s">
        <v>13</v>
      </c>
      <c r="I338" s="0" t="s">
        <v>192</v>
      </c>
    </row>
    <row r="339" customFormat="false" ht="15" hidden="false" customHeight="false" outlineLevel="0" collapsed="false">
      <c r="A339" s="0" t="n">
        <v>0.003366066361633</v>
      </c>
      <c r="B339" s="0" t="n">
        <v>0.862353472471602</v>
      </c>
      <c r="C339" s="0" t="n">
        <v>0.0004903498866962</v>
      </c>
      <c r="D339" s="0" t="n">
        <v>0.125606505926421</v>
      </c>
      <c r="E339" s="0" t="n">
        <v>0.0081836053536477</v>
      </c>
      <c r="F339" s="0" t="n">
        <v>2918</v>
      </c>
      <c r="G339" s="0" t="s">
        <v>162</v>
      </c>
      <c r="H339" s="0" t="s">
        <v>13</v>
      </c>
      <c r="I339" s="0" t="s">
        <v>245</v>
      </c>
    </row>
    <row r="340" customFormat="false" ht="15" hidden="false" customHeight="false" outlineLevel="0" collapsed="false">
      <c r="A340" s="0" t="n">
        <v>0.0070179727564052</v>
      </c>
      <c r="B340" s="0" t="n">
        <v>0.836583150307821</v>
      </c>
      <c r="C340" s="0" t="n">
        <v>0.0012503010226463</v>
      </c>
      <c r="D340" s="0" t="n">
        <v>0.149030914981613</v>
      </c>
      <c r="E340" s="0" t="n">
        <v>0.0061176609315137</v>
      </c>
      <c r="F340" s="0" t="n">
        <v>3368</v>
      </c>
      <c r="G340" s="0" t="s">
        <v>162</v>
      </c>
      <c r="H340" s="0" t="s">
        <v>13</v>
      </c>
      <c r="I340" s="0" t="s">
        <v>427</v>
      </c>
    </row>
    <row r="341" customFormat="false" ht="15" hidden="false" customHeight="false" outlineLevel="0" collapsed="false">
      <c r="A341" s="0" t="n">
        <v>2.39520896813525E-012</v>
      </c>
      <c r="B341" s="0" t="n">
        <v>0.0525809028376463</v>
      </c>
      <c r="C341" s="0" t="n">
        <v>1.26324106208131E-011</v>
      </c>
      <c r="D341" s="0" t="n">
        <v>0.27597050816359</v>
      </c>
      <c r="E341" s="0" t="n">
        <v>0.671448588983737</v>
      </c>
      <c r="F341" s="0" t="n">
        <v>3269</v>
      </c>
      <c r="G341" s="0" t="s">
        <v>162</v>
      </c>
      <c r="H341" s="0" t="s">
        <v>13</v>
      </c>
      <c r="I341" s="0" t="s">
        <v>195</v>
      </c>
    </row>
    <row r="342" customFormat="false" ht="15" hidden="false" customHeight="false" outlineLevel="0" collapsed="false">
      <c r="A342" s="0" t="n">
        <v>0.0005197004308966</v>
      </c>
      <c r="B342" s="0" t="n">
        <v>0.84286543748156</v>
      </c>
      <c r="C342" s="0" t="n">
        <v>8.47593417334926E-005</v>
      </c>
      <c r="D342" s="0" t="n">
        <v>0.13742698602662</v>
      </c>
      <c r="E342" s="0" t="n">
        <v>0.0191031167191893</v>
      </c>
      <c r="F342" s="0" t="n">
        <v>3304</v>
      </c>
      <c r="G342" s="0" t="s">
        <v>162</v>
      </c>
      <c r="H342" s="0" t="s">
        <v>13</v>
      </c>
      <c r="I342" s="0" t="s">
        <v>428</v>
      </c>
    </row>
    <row r="343" customFormat="false" ht="15" hidden="false" customHeight="false" outlineLevel="0" collapsed="false">
      <c r="A343" s="0" t="n">
        <v>2.54810426680607E-009</v>
      </c>
      <c r="B343" s="0" t="n">
        <v>0.831040570822494</v>
      </c>
      <c r="C343" s="0" t="n">
        <v>4.9738902028305E-010</v>
      </c>
      <c r="D343" s="0" t="n">
        <v>0.162205307028321</v>
      </c>
      <c r="E343" s="0" t="n">
        <v>0.0067541191036911</v>
      </c>
      <c r="F343" s="0" t="n">
        <v>3777</v>
      </c>
      <c r="G343" s="0" t="s">
        <v>162</v>
      </c>
      <c r="H343" s="0" t="s">
        <v>13</v>
      </c>
      <c r="I343" s="0" t="s">
        <v>196</v>
      </c>
    </row>
    <row r="344" customFormat="false" ht="15" hidden="false" customHeight="false" outlineLevel="0" collapsed="false">
      <c r="A344" s="0" t="n">
        <v>9.26165203935811E-008</v>
      </c>
      <c r="B344" s="0" t="n">
        <v>0.846593911268019</v>
      </c>
      <c r="C344" s="0" t="n">
        <v>1.62042036331816E-008</v>
      </c>
      <c r="D344" s="0" t="n">
        <v>0.148109635478868</v>
      </c>
      <c r="E344" s="0" t="n">
        <v>0.0052963444323884</v>
      </c>
      <c r="F344" s="0" t="n">
        <v>4273</v>
      </c>
      <c r="G344" s="0" t="s">
        <v>162</v>
      </c>
      <c r="H344" s="0" t="s">
        <v>13</v>
      </c>
      <c r="I344" s="0" t="s">
        <v>429</v>
      </c>
    </row>
    <row r="345" customFormat="false" ht="15" hidden="false" customHeight="false" outlineLevel="0" collapsed="false">
      <c r="A345" s="0" t="n">
        <v>9.95867083996525E-006</v>
      </c>
      <c r="B345" s="0" t="n">
        <v>0.782079987125069</v>
      </c>
      <c r="C345" s="0" t="n">
        <v>1.99457687995523E-006</v>
      </c>
      <c r="D345" s="0" t="n">
        <v>0.156516459693393</v>
      </c>
      <c r="E345" s="0" t="n">
        <v>0.0613915999338187</v>
      </c>
      <c r="F345" s="0" t="n">
        <v>3887</v>
      </c>
      <c r="G345" s="0" t="s">
        <v>162</v>
      </c>
      <c r="H345" s="0" t="s">
        <v>13</v>
      </c>
      <c r="I345" s="0" t="s">
        <v>430</v>
      </c>
    </row>
    <row r="346" customFormat="false" ht="15" hidden="false" customHeight="false" outlineLevel="0" collapsed="false">
      <c r="A346" s="0" t="n">
        <v>3.14311105693104E-011</v>
      </c>
      <c r="B346" s="0" t="n">
        <v>0.83359671454864</v>
      </c>
      <c r="C346" s="0" t="n">
        <v>5.3674388104329E-012</v>
      </c>
      <c r="D346" s="0" t="n">
        <v>0.142303734280781</v>
      </c>
      <c r="E346" s="0" t="n">
        <v>0.0240995511337799</v>
      </c>
      <c r="F346" s="0" t="n">
        <v>4176</v>
      </c>
      <c r="G346" s="0" t="s">
        <v>162</v>
      </c>
      <c r="H346" s="0" t="s">
        <v>13</v>
      </c>
      <c r="I346" s="0" t="s">
        <v>431</v>
      </c>
    </row>
    <row r="347" customFormat="false" ht="15" hidden="false" customHeight="false" outlineLevel="0" collapsed="false">
      <c r="A347" s="0" t="n">
        <v>1.38054135648667E-026</v>
      </c>
      <c r="B347" s="0" t="n">
        <v>0.742912875771011</v>
      </c>
      <c r="C347" s="0" t="n">
        <v>2.07507419121755E-027</v>
      </c>
      <c r="D347" s="0" t="n">
        <v>0.111374866943647</v>
      </c>
      <c r="E347" s="0" t="n">
        <v>0.145712257285339</v>
      </c>
      <c r="F347" s="0" t="n">
        <v>2197</v>
      </c>
      <c r="G347" s="0" t="s">
        <v>162</v>
      </c>
      <c r="H347" s="0" t="s">
        <v>13</v>
      </c>
      <c r="I347" s="0" t="s">
        <v>432</v>
      </c>
    </row>
    <row r="348" customFormat="false" ht="15" hidden="false" customHeight="false" outlineLevel="0" collapsed="false">
      <c r="A348" s="0" t="n">
        <v>1.30285360865939E-024</v>
      </c>
      <c r="B348" s="0" t="n">
        <v>0.877880677262712</v>
      </c>
      <c r="C348" s="0" t="n">
        <v>1.72907101341E-025</v>
      </c>
      <c r="D348" s="0" t="n">
        <v>0.116495935782817</v>
      </c>
      <c r="E348" s="0" t="n">
        <v>0.0056233869544685</v>
      </c>
      <c r="F348" s="0" t="n">
        <v>3382</v>
      </c>
      <c r="G348" s="0" t="s">
        <v>162</v>
      </c>
      <c r="H348" s="0" t="s">
        <v>13</v>
      </c>
      <c r="I348" s="0" t="s">
        <v>433</v>
      </c>
    </row>
    <row r="349" customFormat="false" ht="15" hidden="false" customHeight="false" outlineLevel="0" collapsed="false">
      <c r="A349" s="0" t="n">
        <v>5.1790882917676E-005</v>
      </c>
      <c r="B349" s="0" t="n">
        <v>0.0672194659415198</v>
      </c>
      <c r="C349" s="0" t="n">
        <v>0.0007173474567909</v>
      </c>
      <c r="D349" s="0" t="n">
        <v>0.93104442448014</v>
      </c>
      <c r="E349" s="0" t="n">
        <v>0.0009669712386317</v>
      </c>
      <c r="F349" s="0" t="n">
        <v>2619</v>
      </c>
      <c r="G349" s="0" t="s">
        <v>162</v>
      </c>
      <c r="H349" s="0" t="s">
        <v>13</v>
      </c>
      <c r="I349" s="0" t="s">
        <v>199</v>
      </c>
    </row>
    <row r="350" customFormat="false" ht="15" hidden="false" customHeight="false" outlineLevel="0" collapsed="false">
      <c r="A350" s="0" t="n">
        <v>1.63235555366561E-006</v>
      </c>
      <c r="B350" s="0" t="n">
        <v>0.855673250222707</v>
      </c>
      <c r="C350" s="0" t="n">
        <v>2.63137177752086E-007</v>
      </c>
      <c r="D350" s="0" t="n">
        <v>0.137922489843394</v>
      </c>
      <c r="E350" s="0" t="n">
        <v>0.0064023644411675</v>
      </c>
      <c r="F350" s="0" t="n">
        <v>3493</v>
      </c>
      <c r="G350" s="0" t="s">
        <v>162</v>
      </c>
      <c r="H350" s="0" t="s">
        <v>13</v>
      </c>
      <c r="I350" s="0" t="s">
        <v>434</v>
      </c>
    </row>
    <row r="351" customFormat="false" ht="15" hidden="false" customHeight="false" outlineLevel="0" collapsed="false">
      <c r="A351" s="0" t="n">
        <v>0.0106101102985781</v>
      </c>
      <c r="B351" s="0" t="n">
        <v>0.870553969623402</v>
      </c>
      <c r="C351" s="0" t="n">
        <v>0.0013452642316034</v>
      </c>
      <c r="D351" s="0" t="n">
        <v>0.110363969289824</v>
      </c>
      <c r="E351" s="0" t="n">
        <v>0.0071266865565917</v>
      </c>
      <c r="F351" s="0" t="n">
        <v>2484</v>
      </c>
      <c r="G351" s="0" t="s">
        <v>162</v>
      </c>
      <c r="H351" s="0" t="s">
        <v>13</v>
      </c>
      <c r="I351" s="0" t="s">
        <v>201</v>
      </c>
    </row>
    <row r="352" customFormat="false" ht="15" hidden="false" customHeight="false" outlineLevel="0" collapsed="false">
      <c r="A352" s="0" t="n">
        <v>0.0001585874621766</v>
      </c>
      <c r="B352" s="0" t="n">
        <v>1.84759884066816E-005</v>
      </c>
      <c r="C352" s="0" t="n">
        <v>0.887907329808473</v>
      </c>
      <c r="D352" s="0" t="n">
        <v>0.103427301433746</v>
      </c>
      <c r="E352" s="0" t="n">
        <v>0.0084883053071982</v>
      </c>
      <c r="F352" s="0" t="n">
        <v>3909</v>
      </c>
      <c r="G352" s="0" t="s">
        <v>162</v>
      </c>
      <c r="H352" s="0" t="s">
        <v>13</v>
      </c>
      <c r="I352" s="0" t="s">
        <v>191</v>
      </c>
    </row>
    <row r="353" customFormat="false" ht="15" hidden="false" customHeight="false" outlineLevel="0" collapsed="false">
      <c r="A353" s="0" t="n">
        <v>0.0037896136104097</v>
      </c>
      <c r="B353" s="0" t="n">
        <v>0.776502164542324</v>
      </c>
      <c r="C353" s="0" t="n">
        <v>0.0010353453006085</v>
      </c>
      <c r="D353" s="0" t="n">
        <v>0.212131994124387</v>
      </c>
      <c r="E353" s="0" t="n">
        <v>0.0065408824222709</v>
      </c>
      <c r="F353" s="0" t="n">
        <v>4863</v>
      </c>
      <c r="G353" s="0" t="s">
        <v>162</v>
      </c>
      <c r="H353" s="0" t="s">
        <v>13</v>
      </c>
      <c r="I353" s="0" t="s">
        <v>435</v>
      </c>
    </row>
    <row r="354" customFormat="false" ht="15" hidden="false" customHeight="false" outlineLevel="0" collapsed="false">
      <c r="A354" s="0" t="n">
        <v>0.0001146868473472</v>
      </c>
      <c r="B354" s="0" t="n">
        <v>0.841873812216439</v>
      </c>
      <c r="C354" s="0" t="n">
        <v>2.08329863477157E-005</v>
      </c>
      <c r="D354" s="0" t="n">
        <v>0.152917115629333</v>
      </c>
      <c r="E354" s="0" t="n">
        <v>0.0050735523205338</v>
      </c>
      <c r="F354" s="0" t="n">
        <v>2069</v>
      </c>
      <c r="G354" s="0" t="s">
        <v>162</v>
      </c>
      <c r="H354" s="0" t="s">
        <v>13</v>
      </c>
      <c r="I354" s="0" t="s">
        <v>436</v>
      </c>
    </row>
    <row r="355" customFormat="false" ht="15" hidden="false" customHeight="false" outlineLevel="0" collapsed="false">
      <c r="A355" s="0" t="n">
        <v>2.39080533461999E-024</v>
      </c>
      <c r="B355" s="0" t="n">
        <v>0.854867415190337</v>
      </c>
      <c r="C355" s="0" t="n">
        <v>3.93457925112759E-025</v>
      </c>
      <c r="D355" s="0" t="n">
        <v>0.140677726102209</v>
      </c>
      <c r="E355" s="0" t="n">
        <v>0.0044548587074552</v>
      </c>
      <c r="F355" s="0" t="n">
        <v>3799</v>
      </c>
      <c r="G355" s="0" t="s">
        <v>162</v>
      </c>
      <c r="H355" s="0" t="s">
        <v>13</v>
      </c>
      <c r="I355" s="0" t="s">
        <v>203</v>
      </c>
    </row>
    <row r="356" customFormat="false" ht="15" hidden="false" customHeight="false" outlineLevel="0" collapsed="false">
      <c r="A356" s="0" t="n">
        <v>0.0015799904599955</v>
      </c>
      <c r="B356" s="0" t="n">
        <v>0.864975479929394</v>
      </c>
      <c r="C356" s="0" t="n">
        <v>0.0002345092582953</v>
      </c>
      <c r="D356" s="0" t="n">
        <v>0.128373861239618</v>
      </c>
      <c r="E356" s="0" t="n">
        <v>0.0048361591126972</v>
      </c>
      <c r="F356" s="0" t="n">
        <v>3482</v>
      </c>
      <c r="G356" s="0" t="s">
        <v>162</v>
      </c>
      <c r="H356" s="0" t="s">
        <v>13</v>
      </c>
      <c r="I356" s="0" t="s">
        <v>437</v>
      </c>
    </row>
    <row r="357" customFormat="false" ht="15" hidden="false" customHeight="false" outlineLevel="0" collapsed="false">
      <c r="A357" s="0" t="n">
        <v>0.0002882726908607</v>
      </c>
      <c r="B357" s="0" t="n">
        <v>0.676043292835748</v>
      </c>
      <c r="C357" s="0" t="n">
        <v>0.0001335471610233</v>
      </c>
      <c r="D357" s="0" t="n">
        <v>0.31316766441897</v>
      </c>
      <c r="E357" s="0" t="n">
        <v>0.0103672228933973</v>
      </c>
      <c r="F357" s="0" t="n">
        <v>5904</v>
      </c>
      <c r="G357" s="0" t="s">
        <v>162</v>
      </c>
      <c r="H357" s="0" t="s">
        <v>13</v>
      </c>
      <c r="I357" s="0" t="s">
        <v>438</v>
      </c>
    </row>
    <row r="358" customFormat="false" ht="15" hidden="false" customHeight="false" outlineLevel="0" collapsed="false">
      <c r="A358" s="0" t="n">
        <v>3.7579139457668E-108</v>
      </c>
      <c r="B358" s="0" t="n">
        <v>2.49589192111575E-109</v>
      </c>
      <c r="C358" s="0" t="n">
        <v>0.934046487538413</v>
      </c>
      <c r="D358" s="0" t="n">
        <v>0.0620286715327834</v>
      </c>
      <c r="E358" s="0" t="n">
        <v>0.0039248409287913</v>
      </c>
      <c r="F358" s="0" t="n">
        <v>2166</v>
      </c>
      <c r="G358" s="0" t="s">
        <v>162</v>
      </c>
      <c r="H358" s="0" t="s">
        <v>13</v>
      </c>
      <c r="I358" s="0" t="s">
        <v>175</v>
      </c>
    </row>
    <row r="359" customFormat="false" ht="15" hidden="false" customHeight="false" outlineLevel="0" collapsed="false">
      <c r="A359" s="0" t="n">
        <v>0.0079453246166976</v>
      </c>
      <c r="B359" s="0" t="n">
        <v>0.0008470359954205</v>
      </c>
      <c r="C359" s="0" t="n">
        <v>0.893150246687691</v>
      </c>
      <c r="D359" s="0" t="n">
        <v>0.0952113625926944</v>
      </c>
      <c r="E359" s="0" t="n">
        <v>0.0028460301074956</v>
      </c>
      <c r="F359" s="0" t="n">
        <v>3160</v>
      </c>
      <c r="G359" s="0" t="s">
        <v>162</v>
      </c>
      <c r="H359" s="0" t="s">
        <v>13</v>
      </c>
      <c r="I359" s="0" t="s">
        <v>176</v>
      </c>
    </row>
    <row r="360" customFormat="false" ht="15" hidden="false" customHeight="false" outlineLevel="0" collapsed="false">
      <c r="A360" s="0" t="n">
        <v>1.73799760643785E-008</v>
      </c>
      <c r="B360" s="0" t="n">
        <v>0.785309839190792</v>
      </c>
      <c r="C360" s="0" t="n">
        <v>4.65834119933784E-009</v>
      </c>
      <c r="D360" s="0" t="n">
        <v>0.210477548136362</v>
      </c>
      <c r="E360" s="0" t="n">
        <v>0.0042125906345291</v>
      </c>
      <c r="F360" s="0" t="n">
        <v>4013</v>
      </c>
      <c r="G360" s="0" t="s">
        <v>162</v>
      </c>
      <c r="H360" s="0" t="s">
        <v>13</v>
      </c>
      <c r="I360" s="0" t="s">
        <v>209</v>
      </c>
    </row>
    <row r="361" customFormat="false" ht="15" hidden="false" customHeight="false" outlineLevel="0" collapsed="false">
      <c r="A361" s="0" t="n">
        <v>4.79740849115495E-012</v>
      </c>
      <c r="B361" s="0" t="n">
        <v>0.86636527639586</v>
      </c>
      <c r="C361" s="0" t="n">
        <v>6.62899619418288E-013</v>
      </c>
      <c r="D361" s="0" t="n">
        <v>0.119685319914552</v>
      </c>
      <c r="E361" s="0" t="n">
        <v>0.013949403684126</v>
      </c>
      <c r="F361" s="0" t="n">
        <v>3567</v>
      </c>
      <c r="G361" s="0" t="s">
        <v>162</v>
      </c>
      <c r="H361" s="0" t="s">
        <v>13</v>
      </c>
      <c r="I361" s="0" t="s">
        <v>439</v>
      </c>
    </row>
    <row r="362" customFormat="false" ht="15" hidden="false" customHeight="false" outlineLevel="0" collapsed="false">
      <c r="A362" s="0" t="n">
        <v>2.26633149131473E-005</v>
      </c>
      <c r="B362" s="0" t="n">
        <v>0.799989943115588</v>
      </c>
      <c r="C362" s="0" t="n">
        <v>5.5531799956723E-006</v>
      </c>
      <c r="D362" s="0" t="n">
        <v>0.196013172810179</v>
      </c>
      <c r="E362" s="0" t="n">
        <v>0.0039686675793237</v>
      </c>
      <c r="F362" s="0" t="n">
        <v>4527</v>
      </c>
      <c r="G362" s="0" t="s">
        <v>162</v>
      </c>
      <c r="H362" s="0" t="s">
        <v>13</v>
      </c>
      <c r="I362" s="0" t="s">
        <v>440</v>
      </c>
    </row>
    <row r="363" customFormat="false" ht="15" hidden="false" customHeight="false" outlineLevel="0" collapsed="false">
      <c r="A363" s="0" t="n">
        <v>2.13515357418911E-006</v>
      </c>
      <c r="B363" s="0" t="n">
        <v>0.879325360671565</v>
      </c>
      <c r="C363" s="0" t="n">
        <v>2.67096683172392E-007</v>
      </c>
      <c r="D363" s="0" t="n">
        <v>0.109977671406464</v>
      </c>
      <c r="E363" s="0" t="n">
        <v>0.0106945656717147</v>
      </c>
      <c r="F363" s="0" t="n">
        <v>3219</v>
      </c>
      <c r="G363" s="0" t="s">
        <v>162</v>
      </c>
      <c r="H363" s="0" t="s">
        <v>13</v>
      </c>
      <c r="I363" s="0" t="s">
        <v>441</v>
      </c>
    </row>
    <row r="364" customFormat="false" ht="15" hidden="false" customHeight="false" outlineLevel="0" collapsed="false">
      <c r="A364" s="0" t="n">
        <v>1.23994296847253E-018</v>
      </c>
      <c r="B364" s="0" t="n">
        <v>0.858853238375569</v>
      </c>
      <c r="C364" s="0" t="n">
        <v>1.96106831841853E-019</v>
      </c>
      <c r="D364" s="0" t="n">
        <v>0.135823817371067</v>
      </c>
      <c r="E364" s="0" t="n">
        <v>0.0053229442533679</v>
      </c>
      <c r="F364" s="0" t="n">
        <v>3572</v>
      </c>
      <c r="G364" s="0" t="s">
        <v>162</v>
      </c>
      <c r="H364" s="0" t="s">
        <v>13</v>
      </c>
      <c r="I364" s="0" t="s">
        <v>212</v>
      </c>
    </row>
    <row r="365" customFormat="false" ht="15" hidden="false" customHeight="false" outlineLevel="0" collapsed="false">
      <c r="A365" s="0" t="n">
        <v>1.06198999988378E-015</v>
      </c>
      <c r="B365" s="0" t="n">
        <v>0.82991032886895</v>
      </c>
      <c r="C365" s="0" t="n">
        <v>2.01582959433759E-016</v>
      </c>
      <c r="D365" s="0" t="n">
        <v>0.157505297807986</v>
      </c>
      <c r="E365" s="0" t="n">
        <v>0.0125843733230655</v>
      </c>
      <c r="F365" s="0" t="n">
        <v>3786</v>
      </c>
      <c r="G365" s="0" t="s">
        <v>162</v>
      </c>
      <c r="H365" s="0" t="s">
        <v>13</v>
      </c>
      <c r="I365" s="0" t="s">
        <v>213</v>
      </c>
    </row>
    <row r="366" customFormat="false" ht="15" hidden="false" customHeight="false" outlineLevel="0" collapsed="false">
      <c r="A366" s="0" t="n">
        <v>0.0003393793878932</v>
      </c>
      <c r="B366" s="0" t="n">
        <v>0.829730061504712</v>
      </c>
      <c r="C366" s="0" t="n">
        <v>5.94464906213255E-005</v>
      </c>
      <c r="D366" s="0" t="n">
        <v>0.14528830058348</v>
      </c>
      <c r="E366" s="0" t="n">
        <v>0.024582812033294</v>
      </c>
      <c r="F366" s="0" t="n">
        <v>2621</v>
      </c>
      <c r="G366" s="0" t="s">
        <v>162</v>
      </c>
      <c r="H366" s="0" t="s">
        <v>13</v>
      </c>
      <c r="I366" s="0" t="s">
        <v>442</v>
      </c>
    </row>
    <row r="367" customFormat="false" ht="15" hidden="false" customHeight="false" outlineLevel="0" collapsed="false">
      <c r="A367" s="0" t="n">
        <v>1.27843153897095E-011</v>
      </c>
      <c r="B367" s="0" t="n">
        <v>0.78620148016978</v>
      </c>
      <c r="C367" s="0" t="n">
        <v>3.4051561681948E-012</v>
      </c>
      <c r="D367" s="0" t="n">
        <v>0.209399272100117</v>
      </c>
      <c r="E367" s="0" t="n">
        <v>0.0043992477139139</v>
      </c>
      <c r="F367" s="0" t="n">
        <v>5172</v>
      </c>
      <c r="G367" s="0" t="s">
        <v>162</v>
      </c>
      <c r="H367" s="0" t="s">
        <v>13</v>
      </c>
      <c r="I367" s="0" t="s">
        <v>215</v>
      </c>
    </row>
    <row r="368" customFormat="false" ht="15" hidden="false" customHeight="false" outlineLevel="0" collapsed="false">
      <c r="A368" s="0" t="n">
        <v>4.07573968022391E-005</v>
      </c>
      <c r="B368" s="0" t="n">
        <v>0.730155354144949</v>
      </c>
      <c r="C368" s="0" t="n">
        <v>1.43971317402366E-005</v>
      </c>
      <c r="D368" s="0" t="n">
        <v>0.257896091534904</v>
      </c>
      <c r="E368" s="0" t="n">
        <v>0.0118933997916041</v>
      </c>
      <c r="F368" s="0" t="n">
        <v>3257</v>
      </c>
      <c r="G368" s="0" t="s">
        <v>162</v>
      </c>
      <c r="H368" s="0" t="s">
        <v>13</v>
      </c>
      <c r="I368" s="0" t="s">
        <v>281</v>
      </c>
    </row>
    <row r="369" customFormat="false" ht="15" hidden="false" customHeight="false" outlineLevel="0" collapsed="false">
      <c r="A369" s="0" t="n">
        <v>3.2451016201064E-013</v>
      </c>
      <c r="B369" s="0" t="n">
        <v>1.05092810146056E-013</v>
      </c>
      <c r="C369" s="0" t="n">
        <v>0.750955515271744</v>
      </c>
      <c r="D369" s="0" t="n">
        <v>0.243185675355344</v>
      </c>
      <c r="E369" s="0" t="n">
        <v>0.0058588093724814</v>
      </c>
      <c r="F369" s="0" t="n">
        <v>6105</v>
      </c>
      <c r="G369" s="0" t="s">
        <v>162</v>
      </c>
      <c r="H369" s="0" t="s">
        <v>13</v>
      </c>
      <c r="I369" s="0" t="s">
        <v>184</v>
      </c>
    </row>
    <row r="370" customFormat="false" ht="15" hidden="false" customHeight="false" outlineLevel="0" collapsed="false">
      <c r="A370" s="0" t="n">
        <v>0.0173605616760356</v>
      </c>
      <c r="B370" s="0" t="n">
        <v>0.0015914853043126</v>
      </c>
      <c r="C370" s="0" t="n">
        <v>0.896557765699895</v>
      </c>
      <c r="D370" s="0" t="n">
        <v>0.0821850408950132</v>
      </c>
      <c r="E370" s="0" t="n">
        <v>0.0023051464247435</v>
      </c>
      <c r="F370" s="0" t="n">
        <v>3219</v>
      </c>
      <c r="G370" s="0" t="s">
        <v>162</v>
      </c>
      <c r="H370" s="0" t="s">
        <v>13</v>
      </c>
      <c r="I370" s="0" t="s">
        <v>185</v>
      </c>
    </row>
    <row r="371" customFormat="false" ht="15" hidden="false" customHeight="false" outlineLevel="0" collapsed="false">
      <c r="A371" s="0" t="n">
        <v>0.0032340887693416</v>
      </c>
      <c r="B371" s="0" t="n">
        <v>0.849856883058835</v>
      </c>
      <c r="C371" s="0" t="n">
        <v>0.000536756762323</v>
      </c>
      <c r="D371" s="0" t="n">
        <v>0.141038778940293</v>
      </c>
      <c r="E371" s="0" t="n">
        <v>0.0053334924692075</v>
      </c>
      <c r="F371" s="0" t="n">
        <v>2596</v>
      </c>
      <c r="G371" s="0" t="s">
        <v>162</v>
      </c>
      <c r="H371" s="0" t="s">
        <v>13</v>
      </c>
      <c r="I371" s="0" t="s">
        <v>443</v>
      </c>
    </row>
    <row r="372" customFormat="false" ht="15" hidden="false" customHeight="false" outlineLevel="0" collapsed="false">
      <c r="A372" s="0" t="n">
        <v>0.00035649050696</v>
      </c>
      <c r="B372" s="0" t="n">
        <v>0.866257352835389</v>
      </c>
      <c r="C372" s="0" t="n">
        <v>5.26677266215665E-005</v>
      </c>
      <c r="D372" s="0" t="n">
        <v>0.127969694195421</v>
      </c>
      <c r="E372" s="0" t="n">
        <v>0.0053637947356085</v>
      </c>
      <c r="F372" s="0" t="n">
        <v>3808</v>
      </c>
      <c r="G372" s="0" t="s">
        <v>162</v>
      </c>
      <c r="H372" s="0" t="s">
        <v>13</v>
      </c>
      <c r="I372" s="0" t="s">
        <v>444</v>
      </c>
    </row>
    <row r="373" customFormat="false" ht="15" hidden="false" customHeight="false" outlineLevel="0" collapsed="false">
      <c r="A373" s="0" t="n">
        <v>1.38522180008819E-009</v>
      </c>
      <c r="B373" s="0" t="n">
        <v>0.835313404849062</v>
      </c>
      <c r="C373" s="0" t="n">
        <v>2.63942994844641E-010</v>
      </c>
      <c r="D373" s="0" t="n">
        <v>0.159151253863768</v>
      </c>
      <c r="E373" s="0" t="n">
        <v>0.0055353396380059</v>
      </c>
      <c r="F373" s="0" t="n">
        <v>3421</v>
      </c>
      <c r="G373" s="0" t="s">
        <v>162</v>
      </c>
      <c r="H373" s="0" t="s">
        <v>13</v>
      </c>
      <c r="I373" s="0" t="s">
        <v>445</v>
      </c>
    </row>
    <row r="374" customFormat="false" ht="15" hidden="false" customHeight="false" outlineLevel="0" collapsed="false">
      <c r="A374" s="0" t="n">
        <v>0.0160281151797325</v>
      </c>
      <c r="B374" s="0" t="n">
        <v>0.0019169225797731</v>
      </c>
      <c r="C374" s="0" t="n">
        <v>0.875138230289593</v>
      </c>
      <c r="D374" s="0" t="n">
        <v>0.104659834773976</v>
      </c>
      <c r="E374" s="0" t="n">
        <v>0.0022568971769249</v>
      </c>
      <c r="F374" s="0" t="n">
        <v>4272</v>
      </c>
      <c r="G374" s="0" t="s">
        <v>162</v>
      </c>
      <c r="H374" s="0" t="s">
        <v>13</v>
      </c>
      <c r="I374" s="0" t="s">
        <v>187</v>
      </c>
    </row>
    <row r="375" customFormat="false" ht="15" hidden="false" customHeight="false" outlineLevel="0" collapsed="false">
      <c r="A375" s="0" t="n">
        <v>2.58957078238926E-010</v>
      </c>
      <c r="B375" s="0" t="n">
        <v>0.859912999017056</v>
      </c>
      <c r="C375" s="0" t="n">
        <v>4.06155841137024E-011</v>
      </c>
      <c r="D375" s="0" t="n">
        <v>0.134860812698387</v>
      </c>
      <c r="E375" s="0" t="n">
        <v>0.0052261879849854</v>
      </c>
      <c r="F375" s="0" t="n">
        <v>3539</v>
      </c>
      <c r="G375" s="0" t="s">
        <v>162</v>
      </c>
      <c r="H375" s="0" t="s">
        <v>13</v>
      </c>
      <c r="I375" s="0" t="s">
        <v>446</v>
      </c>
    </row>
    <row r="376" customFormat="false" ht="15" hidden="false" customHeight="false" outlineLevel="0" collapsed="false">
      <c r="A376" s="0" t="n">
        <v>0.0129661561073789</v>
      </c>
      <c r="B376" s="0" t="n">
        <v>0.836449718695993</v>
      </c>
      <c r="C376" s="0" t="n">
        <v>0.0020044373552358</v>
      </c>
      <c r="D376" s="0" t="n">
        <v>0.129268092542726</v>
      </c>
      <c r="E376" s="0" t="n">
        <v>0.019311595298667</v>
      </c>
      <c r="F376" s="0" t="n">
        <v>3663</v>
      </c>
      <c r="G376" s="0" t="s">
        <v>162</v>
      </c>
      <c r="H376" s="0" t="s">
        <v>13</v>
      </c>
      <c r="I376" s="0" t="s">
        <v>447</v>
      </c>
    </row>
    <row r="377" customFormat="false" ht="15" hidden="false" customHeight="false" outlineLevel="0" collapsed="false">
      <c r="A377" s="0" t="n">
        <v>2.73591373558546E-027</v>
      </c>
      <c r="B377" s="0" t="n">
        <v>0.606498527421527</v>
      </c>
      <c r="C377" s="0" t="n">
        <v>1.73347482438395E-027</v>
      </c>
      <c r="D377" s="0" t="n">
        <v>0.384258955675116</v>
      </c>
      <c r="E377" s="0" t="n">
        <v>0.0092425169033555</v>
      </c>
      <c r="F377" s="0" t="n">
        <v>3442</v>
      </c>
      <c r="G377" s="0" t="s">
        <v>162</v>
      </c>
      <c r="H377" s="0" t="s">
        <v>13</v>
      </c>
      <c r="I377" s="0" t="s">
        <v>448</v>
      </c>
    </row>
    <row r="378" customFormat="false" ht="15" hidden="false" customHeight="false" outlineLevel="0" collapsed="false">
      <c r="A378" s="0" t="n">
        <v>6.55137857845425E-005</v>
      </c>
      <c r="B378" s="0" t="n">
        <v>0.86502459099696</v>
      </c>
      <c r="C378" s="0" t="n">
        <v>9.7643172474519E-006</v>
      </c>
      <c r="D378" s="0" t="n">
        <v>0.128913174163292</v>
      </c>
      <c r="E378" s="0" t="n">
        <v>0.0059869567367154</v>
      </c>
      <c r="F378" s="0" t="n">
        <v>2870</v>
      </c>
      <c r="G378" s="0" t="s">
        <v>162</v>
      </c>
      <c r="H378" s="0" t="s">
        <v>13</v>
      </c>
      <c r="I378" s="0" t="s">
        <v>449</v>
      </c>
    </row>
    <row r="379" customFormat="false" ht="15" hidden="false" customHeight="false" outlineLevel="0" collapsed="false">
      <c r="A379" s="0" t="n">
        <v>5.50084764413666E-005</v>
      </c>
      <c r="B379" s="0" t="n">
        <v>3.6576692836812E-005</v>
      </c>
      <c r="C379" s="0" t="n">
        <v>0.592361738826093</v>
      </c>
      <c r="D379" s="0" t="n">
        <v>0.393850693213093</v>
      </c>
      <c r="E379" s="0" t="n">
        <v>0.0136959827915359</v>
      </c>
      <c r="F379" s="0" t="n">
        <v>4779</v>
      </c>
      <c r="G379" s="0" t="s">
        <v>162</v>
      </c>
      <c r="H379" s="0" t="s">
        <v>13</v>
      </c>
      <c r="I379" s="0" t="s">
        <v>190</v>
      </c>
    </row>
    <row r="380" customFormat="false" ht="15" hidden="false" customHeight="false" outlineLevel="0" collapsed="false">
      <c r="A380" s="0" t="n">
        <v>3.81468476016127E-109</v>
      </c>
      <c r="B380" s="0" t="n">
        <v>7.54855591509733E-110</v>
      </c>
      <c r="C380" s="0" t="n">
        <v>0.832711343258388</v>
      </c>
      <c r="D380" s="0" t="n">
        <v>0.164773149383498</v>
      </c>
      <c r="E380" s="0" t="n">
        <v>0.0025155073581264</v>
      </c>
      <c r="F380" s="0" t="n">
        <v>3949</v>
      </c>
      <c r="G380" s="0" t="s">
        <v>163</v>
      </c>
      <c r="H380" s="0" t="s">
        <v>13</v>
      </c>
      <c r="I380" s="0" t="s">
        <v>192</v>
      </c>
    </row>
    <row r="381" customFormat="false" ht="15" hidden="false" customHeight="false" outlineLevel="0" collapsed="false">
      <c r="A381" s="0" t="n">
        <v>1.24553343619248E-009</v>
      </c>
      <c r="B381" s="0" t="n">
        <v>0.848147871604148</v>
      </c>
      <c r="C381" s="0" t="n">
        <v>2.11013978230652E-010</v>
      </c>
      <c r="D381" s="0" t="n">
        <v>0.143673930285914</v>
      </c>
      <c r="E381" s="0" t="n">
        <v>0.0081781966533913</v>
      </c>
      <c r="F381" s="0" t="n">
        <v>4092</v>
      </c>
      <c r="G381" s="0" t="s">
        <v>163</v>
      </c>
      <c r="H381" s="0" t="s">
        <v>13</v>
      </c>
      <c r="I381" s="0" t="s">
        <v>450</v>
      </c>
    </row>
    <row r="382" customFormat="false" ht="15" hidden="false" customHeight="false" outlineLevel="0" collapsed="false">
      <c r="A382" s="0" t="n">
        <v>0.0048025241905399</v>
      </c>
      <c r="B382" s="0" t="n">
        <v>0.840221148815721</v>
      </c>
      <c r="C382" s="0" t="n">
        <v>0.0008275258582104</v>
      </c>
      <c r="D382" s="0" t="n">
        <v>0.144760239008534</v>
      </c>
      <c r="E382" s="0" t="n">
        <v>0.0093885621269954</v>
      </c>
      <c r="F382" s="0" t="n">
        <v>3107</v>
      </c>
      <c r="G382" s="0" t="s">
        <v>163</v>
      </c>
      <c r="H382" s="0" t="s">
        <v>13</v>
      </c>
      <c r="I382" s="0" t="s">
        <v>451</v>
      </c>
    </row>
    <row r="383" customFormat="false" ht="15" hidden="false" customHeight="false" outlineLevel="0" collapsed="false">
      <c r="A383" s="0" t="n">
        <v>2.09594735185693E-047</v>
      </c>
      <c r="B383" s="0" t="n">
        <v>0.179303621938207</v>
      </c>
      <c r="C383" s="0" t="n">
        <v>9.423804165506E-047</v>
      </c>
      <c r="D383" s="0" t="n">
        <v>0.806156350994303</v>
      </c>
      <c r="E383" s="0" t="n">
        <v>0.0145400270674855</v>
      </c>
      <c r="F383" s="0" t="n">
        <v>3005</v>
      </c>
      <c r="G383" s="0" t="s">
        <v>163</v>
      </c>
      <c r="H383" s="0" t="s">
        <v>13</v>
      </c>
      <c r="I383" s="0" t="s">
        <v>452</v>
      </c>
    </row>
    <row r="384" customFormat="false" ht="15" hidden="false" customHeight="false" outlineLevel="0" collapsed="false">
      <c r="A384" s="0" t="n">
        <v>9.50227034555013E-009</v>
      </c>
      <c r="B384" s="0" t="n">
        <v>0.0493331941361639</v>
      </c>
      <c r="C384" s="0" t="n">
        <v>6.47471247686041E-008</v>
      </c>
      <c r="D384" s="0" t="n">
        <v>0.334917902412475</v>
      </c>
      <c r="E384" s="0" t="n">
        <v>0.615748829201966</v>
      </c>
      <c r="F384" s="0" t="n">
        <v>2816</v>
      </c>
      <c r="G384" s="0" t="s">
        <v>163</v>
      </c>
      <c r="H384" s="0" t="s">
        <v>13</v>
      </c>
      <c r="I384" s="0" t="s">
        <v>453</v>
      </c>
    </row>
    <row r="385" customFormat="false" ht="15" hidden="false" customHeight="false" outlineLevel="0" collapsed="false">
      <c r="A385" s="0" t="n">
        <v>3.87572808067516E-071</v>
      </c>
      <c r="B385" s="0" t="n">
        <v>0.0001515604079522</v>
      </c>
      <c r="C385" s="0" t="n">
        <v>5.35913329863305E-070</v>
      </c>
      <c r="D385" s="0" t="n">
        <v>9.61854164946728E-005</v>
      </c>
      <c r="E385" s="0" t="n">
        <v>0.99975225417556</v>
      </c>
      <c r="F385" s="0" t="n">
        <v>1974</v>
      </c>
      <c r="G385" s="0" t="s">
        <v>163</v>
      </c>
      <c r="H385" s="0" t="s">
        <v>13</v>
      </c>
      <c r="I385" s="0" t="s">
        <v>172</v>
      </c>
    </row>
    <row r="386" customFormat="false" ht="15" hidden="false" customHeight="false" outlineLevel="0" collapsed="false">
      <c r="A386" s="0" t="n">
        <v>3.01606239057265E-021</v>
      </c>
      <c r="B386" s="0" t="n">
        <v>0.855030555353468</v>
      </c>
      <c r="C386" s="0" t="n">
        <v>4.95261261017537E-022</v>
      </c>
      <c r="D386" s="0" t="n">
        <v>0.140393617325373</v>
      </c>
      <c r="E386" s="0" t="n">
        <v>0.0045758273211572</v>
      </c>
      <c r="F386" s="0" t="n">
        <v>3792</v>
      </c>
      <c r="G386" s="0" t="s">
        <v>163</v>
      </c>
      <c r="H386" s="0" t="s">
        <v>13</v>
      </c>
      <c r="I386" s="0" t="s">
        <v>454</v>
      </c>
    </row>
    <row r="387" customFormat="false" ht="15" hidden="false" customHeight="false" outlineLevel="0" collapsed="false">
      <c r="A387" s="0" t="n">
        <v>3.74378029853189E-173</v>
      </c>
      <c r="B387" s="0" t="n">
        <v>4.02326222078122E-108</v>
      </c>
      <c r="C387" s="0" t="n">
        <v>9.30533505669642E-066</v>
      </c>
      <c r="D387" s="0" t="n">
        <v>1</v>
      </c>
      <c r="E387" s="0" t="n">
        <v>1.35758404031047E-032</v>
      </c>
      <c r="F387" s="0" t="n">
        <v>2177</v>
      </c>
      <c r="G387" s="0" t="s">
        <v>163</v>
      </c>
      <c r="H387" s="0" t="s">
        <v>13</v>
      </c>
      <c r="I387" s="0" t="s">
        <v>455</v>
      </c>
    </row>
    <row r="388" customFormat="false" ht="15" hidden="false" customHeight="false" outlineLevel="0" collapsed="false">
      <c r="A388" s="0" t="n">
        <v>0.0079488636703452</v>
      </c>
      <c r="B388" s="0" t="n">
        <v>0.0008456619779172</v>
      </c>
      <c r="C388" s="0" t="n">
        <v>0.893548078971561</v>
      </c>
      <c r="D388" s="0" t="n">
        <v>0.095057398531711</v>
      </c>
      <c r="E388" s="0" t="n">
        <v>0.0025999968484655</v>
      </c>
      <c r="F388" s="0" t="n">
        <v>3160</v>
      </c>
      <c r="G388" s="0" t="s">
        <v>163</v>
      </c>
      <c r="H388" s="0" t="s">
        <v>13</v>
      </c>
      <c r="I388" s="0" t="s">
        <v>176</v>
      </c>
    </row>
    <row r="389" customFormat="false" ht="15" hidden="false" customHeight="false" outlineLevel="0" collapsed="false">
      <c r="A389" s="0" t="n">
        <v>1.1760988052345E-007</v>
      </c>
      <c r="B389" s="0" t="n">
        <v>0.0698170566621562</v>
      </c>
      <c r="C389" s="0" t="n">
        <v>1.04173644044444E-006</v>
      </c>
      <c r="D389" s="0" t="n">
        <v>0.61778389374318</v>
      </c>
      <c r="E389" s="0" t="n">
        <v>0.312397890248343</v>
      </c>
      <c r="F389" s="0" t="n">
        <v>4512</v>
      </c>
      <c r="G389" s="0" t="s">
        <v>163</v>
      </c>
      <c r="H389" s="0" t="s">
        <v>13</v>
      </c>
      <c r="I389" s="0" t="s">
        <v>456</v>
      </c>
    </row>
    <row r="390" customFormat="false" ht="15" hidden="false" customHeight="false" outlineLevel="0" collapsed="false">
      <c r="A390" s="0" t="n">
        <v>0.016139555531852</v>
      </c>
      <c r="B390" s="0" t="n">
        <v>0.813946017779711</v>
      </c>
      <c r="C390" s="0" t="n">
        <v>0.0030794509011118</v>
      </c>
      <c r="D390" s="0" t="n">
        <v>0.15527898372486</v>
      </c>
      <c r="E390" s="0" t="n">
        <v>0.0115559920624644</v>
      </c>
      <c r="F390" s="0" t="n">
        <v>4218</v>
      </c>
      <c r="G390" s="0" t="s">
        <v>163</v>
      </c>
      <c r="H390" s="0" t="s">
        <v>13</v>
      </c>
      <c r="I390" s="0" t="s">
        <v>457</v>
      </c>
    </row>
    <row r="391" customFormat="false" ht="15" hidden="false" customHeight="false" outlineLevel="0" collapsed="false">
      <c r="A391" s="0" t="n">
        <v>0.0005958946364227</v>
      </c>
      <c r="B391" s="0" t="n">
        <v>0.830704823730381</v>
      </c>
      <c r="C391" s="0" t="n">
        <v>9.85683895680835E-005</v>
      </c>
      <c r="D391" s="0" t="n">
        <v>0.137346408465258</v>
      </c>
      <c r="E391" s="0" t="n">
        <v>0.03125430477837</v>
      </c>
      <c r="F391" s="0" t="n">
        <v>3488</v>
      </c>
      <c r="G391" s="0" t="s">
        <v>163</v>
      </c>
      <c r="H391" s="0" t="s">
        <v>13</v>
      </c>
      <c r="I391" s="0" t="s">
        <v>458</v>
      </c>
    </row>
    <row r="392" customFormat="false" ht="15" hidden="false" customHeight="false" outlineLevel="0" collapsed="false">
      <c r="A392" s="0" t="n">
        <v>9.55968252532508E-007</v>
      </c>
      <c r="B392" s="0" t="n">
        <v>0.827640526205949</v>
      </c>
      <c r="C392" s="0" t="n">
        <v>1.84472182196602E-007</v>
      </c>
      <c r="D392" s="0" t="n">
        <v>0.159683567096349</v>
      </c>
      <c r="E392" s="0" t="n">
        <v>0.0126747662572677</v>
      </c>
      <c r="F392" s="0" t="n">
        <v>3310</v>
      </c>
      <c r="G392" s="0" t="s">
        <v>163</v>
      </c>
      <c r="H392" s="0" t="s">
        <v>13</v>
      </c>
      <c r="I392" s="0" t="s">
        <v>407</v>
      </c>
    </row>
    <row r="393" customFormat="false" ht="15" hidden="false" customHeight="false" outlineLevel="0" collapsed="false">
      <c r="A393" s="0" t="n">
        <v>2.13328080372913E-005</v>
      </c>
      <c r="B393" s="0" t="n">
        <v>0.879877437100177</v>
      </c>
      <c r="C393" s="0" t="n">
        <v>2.62644847028816E-006</v>
      </c>
      <c r="D393" s="0" t="n">
        <v>0.108304990271029</v>
      </c>
      <c r="E393" s="0" t="n">
        <v>0.0117936133722863</v>
      </c>
      <c r="F393" s="0" t="n">
        <v>2853</v>
      </c>
      <c r="G393" s="0" t="s">
        <v>163</v>
      </c>
      <c r="H393" s="0" t="s">
        <v>13</v>
      </c>
      <c r="I393" s="0" t="s">
        <v>459</v>
      </c>
    </row>
    <row r="394" customFormat="false" ht="15" hidden="false" customHeight="false" outlineLevel="0" collapsed="false">
      <c r="A394" s="0" t="n">
        <v>1.0088115242904E-018</v>
      </c>
      <c r="B394" s="0" t="n">
        <v>0.228334235484082</v>
      </c>
      <c r="C394" s="0" t="n">
        <v>3.37204354108828E-018</v>
      </c>
      <c r="D394" s="0" t="n">
        <v>0.763210874036247</v>
      </c>
      <c r="E394" s="0" t="n">
        <v>0.008454890479673</v>
      </c>
      <c r="F394" s="0" t="n">
        <v>3710</v>
      </c>
      <c r="G394" s="0" t="s">
        <v>163</v>
      </c>
      <c r="H394" s="0" t="s">
        <v>13</v>
      </c>
      <c r="I394" s="0" t="s">
        <v>460</v>
      </c>
    </row>
    <row r="395" customFormat="false" ht="15" hidden="false" customHeight="false" outlineLevel="0" collapsed="false">
      <c r="A395" s="0" t="n">
        <v>6.58943414312024E-016</v>
      </c>
      <c r="B395" s="0" t="n">
        <v>6.94809991148544E-014</v>
      </c>
      <c r="C395" s="0" t="n">
        <v>0.0015248742540561</v>
      </c>
      <c r="D395" s="0" t="n">
        <v>0.159108649385654</v>
      </c>
      <c r="E395" s="0" t="n">
        <v>0.839366476360219</v>
      </c>
      <c r="F395" s="0" t="n">
        <v>6604</v>
      </c>
      <c r="G395" s="0" t="s">
        <v>163</v>
      </c>
      <c r="H395" s="0" t="s">
        <v>13</v>
      </c>
      <c r="I395" s="0" t="s">
        <v>461</v>
      </c>
    </row>
    <row r="396" customFormat="false" ht="15" hidden="false" customHeight="false" outlineLevel="0" collapsed="false">
      <c r="A396" s="0" t="n">
        <v>6.1384051937084E-012</v>
      </c>
      <c r="B396" s="0" t="n">
        <v>0.000148874087684</v>
      </c>
      <c r="C396" s="0" t="n">
        <v>3.17008807627523E-010</v>
      </c>
      <c r="D396" s="0" t="n">
        <v>0.0057000787698017</v>
      </c>
      <c r="E396" s="0" t="n">
        <v>0.994151046819366</v>
      </c>
      <c r="F396" s="0" t="n">
        <v>3224</v>
      </c>
      <c r="G396" s="0" t="s">
        <v>163</v>
      </c>
      <c r="H396" s="0" t="s">
        <v>13</v>
      </c>
      <c r="I396" s="0" t="s">
        <v>462</v>
      </c>
    </row>
    <row r="397" customFormat="false" ht="15" hidden="false" customHeight="false" outlineLevel="0" collapsed="false">
      <c r="A397" s="0" t="n">
        <v>3.61605903738007E-005</v>
      </c>
      <c r="B397" s="0" t="n">
        <v>0.8689449975968</v>
      </c>
      <c r="C397" s="0" t="n">
        <v>4.94804028344696E-006</v>
      </c>
      <c r="D397" s="0" t="n">
        <v>0.118877958645425</v>
      </c>
      <c r="E397" s="0" t="n">
        <v>0.0121359351271182</v>
      </c>
      <c r="F397" s="0" t="n">
        <v>3515</v>
      </c>
      <c r="G397" s="0" t="s">
        <v>163</v>
      </c>
      <c r="H397" s="0" t="s">
        <v>13</v>
      </c>
      <c r="I397" s="0" t="s">
        <v>463</v>
      </c>
    </row>
    <row r="398" customFormat="false" ht="15" hidden="false" customHeight="false" outlineLevel="0" collapsed="false">
      <c r="A398" s="0" t="n">
        <v>2.5427845908809E-005</v>
      </c>
      <c r="B398" s="0" t="n">
        <v>0.827749628878861</v>
      </c>
      <c r="C398" s="0" t="n">
        <v>5.11271024582183E-006</v>
      </c>
      <c r="D398" s="0" t="n">
        <v>0.166421849628501</v>
      </c>
      <c r="E398" s="0" t="n">
        <v>0.0057979809364842</v>
      </c>
      <c r="F398" s="0" t="n">
        <v>4548</v>
      </c>
      <c r="G398" s="0" t="s">
        <v>163</v>
      </c>
      <c r="H398" s="0" t="s">
        <v>13</v>
      </c>
      <c r="I398" s="0" t="s">
        <v>464</v>
      </c>
    </row>
    <row r="399" customFormat="false" ht="15" hidden="false" customHeight="false" outlineLevel="0" collapsed="false">
      <c r="A399" s="0" t="n">
        <v>6.37277686589666E-006</v>
      </c>
      <c r="B399" s="0" t="n">
        <v>1.89604644538753E-006</v>
      </c>
      <c r="C399" s="0" t="n">
        <v>0.0686255906297821</v>
      </c>
      <c r="D399" s="0" t="n">
        <v>0.0185921301616445</v>
      </c>
      <c r="E399" s="0" t="n">
        <v>0.912774010385262</v>
      </c>
      <c r="F399" s="0" t="n">
        <v>4779</v>
      </c>
      <c r="G399" s="0" t="s">
        <v>163</v>
      </c>
      <c r="H399" s="0" t="s">
        <v>13</v>
      </c>
      <c r="I399" s="0" t="s">
        <v>190</v>
      </c>
    </row>
    <row r="400" customFormat="false" ht="15" hidden="false" customHeight="false" outlineLevel="0" collapsed="false">
      <c r="A400" s="0" t="n">
        <v>0.0157497796748539</v>
      </c>
      <c r="B400" s="0" t="n">
        <v>0.002138030587892</v>
      </c>
      <c r="C400" s="0" t="n">
        <v>0.85994105717006</v>
      </c>
      <c r="D400" s="0" t="n">
        <v>0.116725998880945</v>
      </c>
      <c r="E400" s="0" t="n">
        <v>0.0054451336862482</v>
      </c>
      <c r="F400" s="0" t="n">
        <v>4272</v>
      </c>
      <c r="G400" s="0" t="s">
        <v>163</v>
      </c>
      <c r="H400" s="0" t="s">
        <v>13</v>
      </c>
      <c r="I400" s="0" t="s">
        <v>187</v>
      </c>
    </row>
    <row r="401" customFormat="false" ht="15" hidden="false" customHeight="false" outlineLevel="0" collapsed="false">
      <c r="A401" s="0" t="n">
        <v>1.8528112543257E-005</v>
      </c>
      <c r="B401" s="0" t="n">
        <v>0.0001599910424883</v>
      </c>
      <c r="C401" s="0" t="n">
        <v>0.103736113239212</v>
      </c>
      <c r="D401" s="0" t="n">
        <v>0.895765124217286</v>
      </c>
      <c r="E401" s="0" t="n">
        <v>0.0003202433884698</v>
      </c>
      <c r="F401" s="0" t="n">
        <v>3909</v>
      </c>
      <c r="G401" s="0" t="s">
        <v>163</v>
      </c>
      <c r="H401" s="0" t="s">
        <v>13</v>
      </c>
      <c r="I401" s="0" t="s">
        <v>191</v>
      </c>
    </row>
  </sheetData>
  <autoFilter ref="A1:I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" t="s">
        <v>465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</row>
    <row r="2" customFormat="false" ht="15" hidden="false" customHeight="false" outlineLevel="0" collapsed="false">
      <c r="A2" s="0" t="s">
        <v>473</v>
      </c>
      <c r="B2" s="0" t="s">
        <v>474</v>
      </c>
      <c r="C2" s="0" t="s">
        <v>475</v>
      </c>
      <c r="D2" s="0" t="n">
        <v>0.629692687383748</v>
      </c>
      <c r="E2" s="0" t="n">
        <v>7.40663341161406E-145</v>
      </c>
      <c r="F2" s="0" t="n">
        <v>1303</v>
      </c>
      <c r="G2" s="0" t="n">
        <v>13</v>
      </c>
      <c r="H2" s="0" t="n">
        <v>2.22199002348422E-144</v>
      </c>
    </row>
    <row r="3" customFormat="false" ht="15" hidden="false" customHeight="false" outlineLevel="0" collapsed="false">
      <c r="A3" s="0" t="s">
        <v>473</v>
      </c>
      <c r="B3" s="0" t="s">
        <v>474</v>
      </c>
      <c r="C3" s="0" t="s">
        <v>158</v>
      </c>
      <c r="D3" s="0" t="n">
        <v>0.599299742109299</v>
      </c>
      <c r="E3" s="0" t="n">
        <v>7.19488538700682E-128</v>
      </c>
      <c r="F3" s="0" t="n">
        <v>1303</v>
      </c>
      <c r="G3" s="0" t="n">
        <v>13</v>
      </c>
      <c r="H3" s="0" t="n">
        <v>1.43897707740136E-127</v>
      </c>
    </row>
    <row r="4" customFormat="false" ht="15" hidden="false" customHeight="false" outlineLevel="0" collapsed="false">
      <c r="A4" s="0" t="s">
        <v>473</v>
      </c>
      <c r="B4" s="0" t="s">
        <v>474</v>
      </c>
      <c r="C4" s="0" t="s">
        <v>476</v>
      </c>
      <c r="D4" s="0" t="n">
        <v>0.565773827351194</v>
      </c>
      <c r="E4" s="0" t="n">
        <v>3.95238687175437E-111</v>
      </c>
      <c r="F4" s="0" t="n">
        <v>1303</v>
      </c>
      <c r="G4" s="0" t="n">
        <v>13</v>
      </c>
      <c r="H4" s="0" t="n">
        <v>5.92858030763155E-111</v>
      </c>
    </row>
    <row r="5" customFormat="false" ht="15" hidden="false" customHeight="false" outlineLevel="0" collapsed="false">
      <c r="A5" s="0" t="s">
        <v>473</v>
      </c>
      <c r="B5" s="0" t="s">
        <v>474</v>
      </c>
      <c r="C5" s="0" t="s">
        <v>163</v>
      </c>
      <c r="D5" s="0" t="n">
        <v>0.489489631212544</v>
      </c>
      <c r="E5" s="0" t="n">
        <v>1.86972446887106E-079</v>
      </c>
      <c r="F5" s="0" t="n">
        <v>1303</v>
      </c>
      <c r="G5" s="0" t="n">
        <v>13</v>
      </c>
      <c r="H5" s="0" t="n">
        <v>1.86972446887106E-079</v>
      </c>
    </row>
    <row r="6" customFormat="false" ht="15" hidden="false" customHeight="false" outlineLevel="0" collapsed="false">
      <c r="A6" s="0" t="s">
        <v>473</v>
      </c>
      <c r="B6" s="0" t="s">
        <v>474</v>
      </c>
      <c r="C6" s="0" t="s">
        <v>477</v>
      </c>
      <c r="D6" s="0" t="n">
        <v>0.511682395681097</v>
      </c>
      <c r="E6" s="0" t="n">
        <v>7.49502662808543E-088</v>
      </c>
      <c r="F6" s="0" t="n">
        <v>1303</v>
      </c>
      <c r="G6" s="0" t="n">
        <v>13</v>
      </c>
      <c r="H6" s="0" t="n">
        <v>8.99403195370251E-088</v>
      </c>
    </row>
    <row r="7" customFormat="false" ht="15" hidden="false" customHeight="false" outlineLevel="0" collapsed="false">
      <c r="A7" s="0" t="s">
        <v>473</v>
      </c>
      <c r="B7" s="0" t="s">
        <v>474</v>
      </c>
      <c r="C7" s="0" t="s">
        <v>478</v>
      </c>
      <c r="D7" s="0" t="n">
        <v>0.654495413894057</v>
      </c>
      <c r="E7" s="0" t="n">
        <v>3.42394716879567E-160</v>
      </c>
      <c r="F7" s="0" t="n">
        <v>1303</v>
      </c>
      <c r="G7" s="0" t="n">
        <v>13</v>
      </c>
      <c r="H7" s="0" t="n">
        <v>2.0543683012774E-159</v>
      </c>
    </row>
    <row r="8" customFormat="false" ht="15" hidden="false" customHeight="false" outlineLevel="0" collapsed="false">
      <c r="A8" s="0" t="s">
        <v>479</v>
      </c>
      <c r="B8" s="0" t="s">
        <v>474</v>
      </c>
      <c r="C8" s="0" t="s">
        <v>475</v>
      </c>
      <c r="D8" s="0" t="n">
        <v>0.73688787861358</v>
      </c>
      <c r="E8" s="0" t="n">
        <v>3.70995737940717E-224</v>
      </c>
      <c r="F8" s="0" t="n">
        <v>1307</v>
      </c>
      <c r="G8" s="0" t="n">
        <v>13</v>
      </c>
      <c r="H8" s="0" t="n">
        <v>1.11298721382215E-223</v>
      </c>
    </row>
    <row r="9" customFormat="false" ht="15" hidden="false" customHeight="false" outlineLevel="0" collapsed="false">
      <c r="A9" s="0" t="s">
        <v>479</v>
      </c>
      <c r="B9" s="0" t="s">
        <v>474</v>
      </c>
      <c r="C9" s="0" t="s">
        <v>158</v>
      </c>
      <c r="D9" s="0" t="n">
        <v>0.601646710435482</v>
      </c>
      <c r="E9" s="0" t="n">
        <v>1.65596537601104E-129</v>
      </c>
      <c r="F9" s="0" t="n">
        <v>1307</v>
      </c>
      <c r="G9" s="0" t="n">
        <v>13</v>
      </c>
      <c r="H9" s="0" t="n">
        <v>3.31193075202207E-129</v>
      </c>
    </row>
    <row r="10" customFormat="false" ht="15" hidden="false" customHeight="false" outlineLevel="0" collapsed="false">
      <c r="A10" s="0" t="s">
        <v>479</v>
      </c>
      <c r="B10" s="0" t="s">
        <v>474</v>
      </c>
      <c r="C10" s="0" t="s">
        <v>476</v>
      </c>
      <c r="D10" s="0" t="n">
        <v>0.579724717185483</v>
      </c>
      <c r="E10" s="0" t="n">
        <v>3.23880344099191E-118</v>
      </c>
      <c r="F10" s="0" t="n">
        <v>1307</v>
      </c>
      <c r="G10" s="0" t="n">
        <v>13</v>
      </c>
      <c r="H10" s="0" t="n">
        <v>3.88656412919029E-118</v>
      </c>
    </row>
    <row r="11" customFormat="false" ht="15" hidden="false" customHeight="false" outlineLevel="0" collapsed="false">
      <c r="A11" s="0" t="s">
        <v>479</v>
      </c>
      <c r="B11" s="0" t="s">
        <v>474</v>
      </c>
      <c r="C11" s="0" t="s">
        <v>163</v>
      </c>
      <c r="D11" s="0" t="n">
        <v>0.539721607173427</v>
      </c>
      <c r="E11" s="0" t="n">
        <v>1.09156375090789E-099</v>
      </c>
      <c r="F11" s="0" t="n">
        <v>1307</v>
      </c>
      <c r="G11" s="0" t="n">
        <v>13</v>
      </c>
      <c r="H11" s="0" t="n">
        <v>1.09156375090789E-099</v>
      </c>
    </row>
    <row r="12" customFormat="false" ht="15" hidden="false" customHeight="false" outlineLevel="0" collapsed="false">
      <c r="A12" s="0" t="s">
        <v>479</v>
      </c>
      <c r="B12" s="0" t="s">
        <v>474</v>
      </c>
      <c r="C12" s="0" t="s">
        <v>477</v>
      </c>
      <c r="D12" s="0" t="n">
        <v>0.599456493161828</v>
      </c>
      <c r="E12" s="0" t="n">
        <v>2.43579938575466E-128</v>
      </c>
      <c r="F12" s="0" t="n">
        <v>1307</v>
      </c>
      <c r="G12" s="0" t="n">
        <v>13</v>
      </c>
      <c r="H12" s="0" t="n">
        <v>3.65369907863199E-128</v>
      </c>
    </row>
    <row r="13" customFormat="false" ht="15" hidden="false" customHeight="false" outlineLevel="0" collapsed="false">
      <c r="A13" s="0" t="s">
        <v>479</v>
      </c>
      <c r="B13" s="0" t="s">
        <v>474</v>
      </c>
      <c r="C13" s="0" t="s">
        <v>478</v>
      </c>
      <c r="D13" s="0" t="n">
        <v>0.76416528898913</v>
      </c>
      <c r="E13" s="0" t="n">
        <v>8.99590659936035E-251</v>
      </c>
      <c r="F13" s="0" t="n">
        <v>1307</v>
      </c>
      <c r="G13" s="0" t="n">
        <v>13</v>
      </c>
      <c r="H13" s="0" t="n">
        <v>5.39754395961621E-250</v>
      </c>
    </row>
    <row r="14" customFormat="false" ht="15" hidden="false" customHeight="false" outlineLevel="0" collapsed="false">
      <c r="A14" s="0" t="s">
        <v>480</v>
      </c>
      <c r="B14" s="0" t="s">
        <v>481</v>
      </c>
      <c r="C14" s="0" t="s">
        <v>475</v>
      </c>
      <c r="D14" s="0" t="n">
        <v>0.65682864507493</v>
      </c>
      <c r="E14" s="0" t="n">
        <v>1.35823600861094E-090</v>
      </c>
      <c r="F14" s="0" t="n">
        <v>724</v>
      </c>
      <c r="G14" s="0" t="n">
        <v>13</v>
      </c>
      <c r="H14" s="0" t="n">
        <v>4.07470802583282E-090</v>
      </c>
    </row>
    <row r="15" customFormat="false" ht="15" hidden="false" customHeight="false" outlineLevel="0" collapsed="false">
      <c r="A15" s="0" t="s">
        <v>480</v>
      </c>
      <c r="B15" s="0" t="s">
        <v>481</v>
      </c>
      <c r="C15" s="0" t="s">
        <v>158</v>
      </c>
      <c r="D15" s="0" t="n">
        <v>0.53770895047921</v>
      </c>
      <c r="E15" s="0" t="n">
        <v>1.72411701324669E-055</v>
      </c>
      <c r="F15" s="0" t="n">
        <v>724</v>
      </c>
      <c r="G15" s="0" t="n">
        <v>13</v>
      </c>
      <c r="H15" s="0" t="n">
        <v>2.58617551987003E-055</v>
      </c>
    </row>
    <row r="16" customFormat="false" ht="15" hidden="false" customHeight="false" outlineLevel="0" collapsed="false">
      <c r="A16" s="0" t="s">
        <v>480</v>
      </c>
      <c r="B16" s="0" t="s">
        <v>481</v>
      </c>
      <c r="C16" s="0" t="s">
        <v>476</v>
      </c>
      <c r="D16" s="0" t="n">
        <v>0.527791484176891</v>
      </c>
      <c r="E16" s="0" t="n">
        <v>3.6137710717594E-053</v>
      </c>
      <c r="F16" s="0" t="n">
        <v>724</v>
      </c>
      <c r="G16" s="0" t="n">
        <v>13</v>
      </c>
      <c r="H16" s="0" t="n">
        <v>4.33652528611128E-053</v>
      </c>
    </row>
    <row r="17" customFormat="false" ht="15" hidden="false" customHeight="false" outlineLevel="0" collapsed="false">
      <c r="A17" s="0" t="s">
        <v>480</v>
      </c>
      <c r="B17" s="0" t="s">
        <v>481</v>
      </c>
      <c r="C17" s="0" t="s">
        <v>163</v>
      </c>
      <c r="D17" s="0" t="n">
        <v>0.501213468916886</v>
      </c>
      <c r="E17" s="0" t="n">
        <v>2.5921890652069E-047</v>
      </c>
      <c r="F17" s="0" t="n">
        <v>724</v>
      </c>
      <c r="G17" s="0" t="n">
        <v>13</v>
      </c>
      <c r="H17" s="0" t="n">
        <v>2.5921890652069E-047</v>
      </c>
    </row>
    <row r="18" customFormat="false" ht="15" hidden="false" customHeight="false" outlineLevel="0" collapsed="false">
      <c r="A18" s="0" t="s">
        <v>480</v>
      </c>
      <c r="B18" s="0" t="s">
        <v>481</v>
      </c>
      <c r="C18" s="0" t="s">
        <v>477</v>
      </c>
      <c r="D18" s="0" t="n">
        <v>0.650053877151446</v>
      </c>
      <c r="E18" s="0" t="n">
        <v>3.63084060412963E-088</v>
      </c>
      <c r="F18" s="0" t="n">
        <v>724</v>
      </c>
      <c r="G18" s="0" t="n">
        <v>13</v>
      </c>
      <c r="H18" s="0" t="n">
        <v>7.26168120825927E-088</v>
      </c>
    </row>
    <row r="19" customFormat="false" ht="15" hidden="false" customHeight="false" outlineLevel="0" collapsed="false">
      <c r="A19" s="0" t="s">
        <v>480</v>
      </c>
      <c r="B19" s="0" t="s">
        <v>481</v>
      </c>
      <c r="C19" s="0" t="s">
        <v>478</v>
      </c>
      <c r="D19" s="0" t="n">
        <v>0.700200981986534</v>
      </c>
      <c r="E19" s="0" t="n">
        <v>9.39671679102012E-108</v>
      </c>
      <c r="F19" s="0" t="n">
        <v>724</v>
      </c>
      <c r="G19" s="0" t="n">
        <v>13</v>
      </c>
      <c r="H19" s="0" t="n">
        <v>5.63803007461207E-107</v>
      </c>
    </row>
    <row r="20" customFormat="false" ht="15" hidden="false" customHeight="false" outlineLevel="0" collapsed="false">
      <c r="A20" s="0" t="s">
        <v>482</v>
      </c>
      <c r="B20" s="0" t="s">
        <v>481</v>
      </c>
      <c r="C20" s="0" t="s">
        <v>475</v>
      </c>
      <c r="D20" s="0" t="n">
        <v>0.718250769256015</v>
      </c>
      <c r="E20" s="0" t="n">
        <v>2.26909869536854E-115</v>
      </c>
      <c r="F20" s="0" t="n">
        <v>721</v>
      </c>
      <c r="G20" s="0" t="n">
        <v>13</v>
      </c>
      <c r="H20" s="0" t="n">
        <v>6.80729608610561E-115</v>
      </c>
    </row>
    <row r="21" customFormat="false" ht="15" hidden="false" customHeight="false" outlineLevel="0" collapsed="false">
      <c r="A21" s="0" t="s">
        <v>482</v>
      </c>
      <c r="B21" s="0" t="s">
        <v>481</v>
      </c>
      <c r="C21" s="0" t="s">
        <v>158</v>
      </c>
      <c r="D21" s="0" t="n">
        <v>0.610731217779592</v>
      </c>
      <c r="E21" s="0" t="n">
        <v>6.39861912050067E-075</v>
      </c>
      <c r="F21" s="0" t="n">
        <v>721</v>
      </c>
      <c r="G21" s="0" t="n">
        <v>13</v>
      </c>
      <c r="H21" s="0" t="n">
        <v>9.597928680751E-075</v>
      </c>
    </row>
    <row r="22" customFormat="false" ht="15" hidden="false" customHeight="false" outlineLevel="0" collapsed="false">
      <c r="A22" s="0" t="s">
        <v>482</v>
      </c>
      <c r="B22" s="0" t="s">
        <v>481</v>
      </c>
      <c r="C22" s="0" t="s">
        <v>476</v>
      </c>
      <c r="D22" s="0" t="n">
        <v>0.594214407722669</v>
      </c>
      <c r="E22" s="0" t="n">
        <v>4.97244592777055E-070</v>
      </c>
      <c r="F22" s="0" t="n">
        <v>721</v>
      </c>
      <c r="G22" s="0" t="n">
        <v>13</v>
      </c>
      <c r="H22" s="0" t="n">
        <v>5.96693511332466E-070</v>
      </c>
    </row>
    <row r="23" customFormat="false" ht="15" hidden="false" customHeight="false" outlineLevel="0" collapsed="false">
      <c r="A23" s="0" t="s">
        <v>482</v>
      </c>
      <c r="B23" s="0" t="s">
        <v>481</v>
      </c>
      <c r="C23" s="0" t="s">
        <v>163</v>
      </c>
      <c r="D23" s="0" t="n">
        <v>0.590143991790396</v>
      </c>
      <c r="E23" s="0" t="n">
        <v>7.22280384575455E-069</v>
      </c>
      <c r="F23" s="0" t="n">
        <v>721</v>
      </c>
      <c r="G23" s="0" t="n">
        <v>13</v>
      </c>
      <c r="H23" s="0" t="n">
        <v>7.22280384575455E-069</v>
      </c>
    </row>
    <row r="24" customFormat="false" ht="15" hidden="false" customHeight="false" outlineLevel="0" collapsed="false">
      <c r="A24" s="0" t="s">
        <v>482</v>
      </c>
      <c r="B24" s="0" t="s">
        <v>481</v>
      </c>
      <c r="C24" s="0" t="s">
        <v>477</v>
      </c>
      <c r="D24" s="0" t="n">
        <v>0.642824950415714</v>
      </c>
      <c r="E24" s="0" t="n">
        <v>2.69345587334883E-085</v>
      </c>
      <c r="F24" s="0" t="n">
        <v>721</v>
      </c>
      <c r="G24" s="0" t="n">
        <v>13</v>
      </c>
      <c r="H24" s="0" t="n">
        <v>5.38691174669765E-085</v>
      </c>
    </row>
    <row r="25" customFormat="false" ht="15" hidden="false" customHeight="false" outlineLevel="0" collapsed="false">
      <c r="A25" s="0" t="s">
        <v>482</v>
      </c>
      <c r="B25" s="0" t="s">
        <v>481</v>
      </c>
      <c r="C25" s="0" t="s">
        <v>478</v>
      </c>
      <c r="D25" s="0" t="n">
        <v>0.741704174834911</v>
      </c>
      <c r="E25" s="0" t="n">
        <v>7.74813969320544E-127</v>
      </c>
      <c r="F25" s="0" t="n">
        <v>721</v>
      </c>
      <c r="G25" s="0" t="n">
        <v>13</v>
      </c>
      <c r="H25" s="0" t="n">
        <v>4.64888381592327E-126</v>
      </c>
    </row>
    <row r="26" customFormat="false" ht="15" hidden="false" customHeight="false" outlineLevel="0" collapsed="false">
      <c r="A26" s="0" t="s">
        <v>483</v>
      </c>
      <c r="B26" s="0" t="s">
        <v>481</v>
      </c>
      <c r="C26" s="0" t="s">
        <v>475</v>
      </c>
      <c r="D26" s="0" t="n">
        <v>0.749470049245247</v>
      </c>
      <c r="E26" s="0" t="n">
        <v>1.66007854460798E-120</v>
      </c>
      <c r="F26" s="0" t="n">
        <v>663</v>
      </c>
      <c r="G26" s="0" t="n">
        <v>13</v>
      </c>
      <c r="H26" s="0" t="n">
        <v>9.9604712676479E-120</v>
      </c>
    </row>
    <row r="27" customFormat="false" ht="15" hidden="false" customHeight="false" outlineLevel="0" collapsed="false">
      <c r="A27" s="0" t="s">
        <v>483</v>
      </c>
      <c r="B27" s="0" t="s">
        <v>481</v>
      </c>
      <c r="C27" s="0" t="s">
        <v>158</v>
      </c>
      <c r="D27" s="0" t="n">
        <v>0.607211986709432</v>
      </c>
      <c r="E27" s="0" t="n">
        <v>4.82718868697001E-068</v>
      </c>
      <c r="F27" s="0" t="n">
        <v>663</v>
      </c>
      <c r="G27" s="0" t="n">
        <v>13</v>
      </c>
      <c r="H27" s="0" t="n">
        <v>5.79262642436402E-068</v>
      </c>
    </row>
    <row r="28" customFormat="false" ht="15" hidden="false" customHeight="false" outlineLevel="0" collapsed="false">
      <c r="A28" s="0" t="s">
        <v>483</v>
      </c>
      <c r="B28" s="0" t="s">
        <v>481</v>
      </c>
      <c r="C28" s="0" t="s">
        <v>476</v>
      </c>
      <c r="D28" s="0" t="n">
        <v>0.662615294730265</v>
      </c>
      <c r="E28" s="0" t="n">
        <v>4.86074439397171E-085</v>
      </c>
      <c r="F28" s="0" t="n">
        <v>663</v>
      </c>
      <c r="G28" s="0" t="n">
        <v>13</v>
      </c>
      <c r="H28" s="0" t="n">
        <v>7.29111659095756E-085</v>
      </c>
    </row>
    <row r="29" customFormat="false" ht="15" hidden="false" customHeight="false" outlineLevel="0" collapsed="false">
      <c r="A29" s="0" t="s">
        <v>483</v>
      </c>
      <c r="B29" s="0" t="s">
        <v>481</v>
      </c>
      <c r="C29" s="0" t="s">
        <v>163</v>
      </c>
      <c r="D29" s="0" t="n">
        <v>0.594565943904798</v>
      </c>
      <c r="E29" s="0" t="n">
        <v>1.2801506665185E-064</v>
      </c>
      <c r="F29" s="0" t="n">
        <v>663</v>
      </c>
      <c r="G29" s="0" t="n">
        <v>13</v>
      </c>
      <c r="H29" s="0" t="n">
        <v>1.2801506665185E-064</v>
      </c>
    </row>
    <row r="30" customFormat="false" ht="15" hidden="false" customHeight="false" outlineLevel="0" collapsed="false">
      <c r="A30" s="0" t="s">
        <v>483</v>
      </c>
      <c r="B30" s="0" t="s">
        <v>481</v>
      </c>
      <c r="C30" s="0" t="s">
        <v>477</v>
      </c>
      <c r="D30" s="0" t="n">
        <v>0.674188955589469</v>
      </c>
      <c r="E30" s="0" t="n">
        <v>4.62047499804086E-089</v>
      </c>
      <c r="F30" s="0" t="n">
        <v>663</v>
      </c>
      <c r="G30" s="0" t="n">
        <v>13</v>
      </c>
      <c r="H30" s="0" t="n">
        <v>9.24094999608171E-089</v>
      </c>
    </row>
    <row r="31" customFormat="false" ht="15" hidden="false" customHeight="false" outlineLevel="0" collapsed="false">
      <c r="A31" s="0" t="s">
        <v>483</v>
      </c>
      <c r="B31" s="0" t="s">
        <v>481</v>
      </c>
      <c r="C31" s="0" t="s">
        <v>478</v>
      </c>
      <c r="D31" s="0" t="n">
        <v>0.746051194343914</v>
      </c>
      <c r="E31" s="0" t="n">
        <v>7.70595535350503E-119</v>
      </c>
      <c r="F31" s="0" t="n">
        <v>663</v>
      </c>
      <c r="G31" s="0" t="n">
        <v>13</v>
      </c>
      <c r="H31" s="0" t="n">
        <v>2.31178660605151E-118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21"/>
    <col collapsed="false" customWidth="true" hidden="false" outlineLevel="0" max="5" min="5" style="0" width="23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484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472</v>
      </c>
    </row>
    <row r="2" customFormat="false" ht="15" hidden="false" customHeight="false" outlineLevel="0" collapsed="false">
      <c r="A2" s="0" t="s">
        <v>78</v>
      </c>
      <c r="B2" s="0" t="n">
        <v>0.0494252873563218</v>
      </c>
      <c r="C2" s="0" t="n">
        <v>0.088235294117647</v>
      </c>
      <c r="D2" s="0" t="n">
        <v>0.836093656839946</v>
      </c>
      <c r="E2" s="0" t="n">
        <v>7.7757071487519E-006</v>
      </c>
      <c r="F2" s="0" t="n">
        <v>0.0001010841929337</v>
      </c>
    </row>
    <row r="3" customFormat="false" ht="15" hidden="false" customHeight="false" outlineLevel="0" collapsed="false">
      <c r="A3" s="0" t="s">
        <v>81</v>
      </c>
      <c r="B3" s="0" t="n">
        <v>0.281992337164751</v>
      </c>
      <c r="C3" s="0" t="n">
        <v>0.430265654648956</v>
      </c>
      <c r="D3" s="0" t="n">
        <v>0.609569961251072</v>
      </c>
      <c r="E3" s="0" t="n">
        <v>0.0005660575592684</v>
      </c>
      <c r="F3" s="0" t="n">
        <v>0.0029327214483806</v>
      </c>
    </row>
    <row r="4" customFormat="false" ht="15" hidden="false" customHeight="false" outlineLevel="0" collapsed="false">
      <c r="A4" s="0" t="s">
        <v>30</v>
      </c>
      <c r="B4" s="0" t="n">
        <v>0.242528735632184</v>
      </c>
      <c r="C4" s="0" t="n">
        <v>0.19876660341556</v>
      </c>
      <c r="D4" s="0" t="n">
        <v>-0.287079006231339</v>
      </c>
      <c r="E4" s="0" t="n">
        <v>0.0006767818727032</v>
      </c>
      <c r="F4" s="0" t="n">
        <v>0.0029327214483806</v>
      </c>
    </row>
    <row r="5" customFormat="false" ht="15" hidden="false" customHeight="false" outlineLevel="0" collapsed="false">
      <c r="A5" s="0" t="s">
        <v>68</v>
      </c>
      <c r="B5" s="0" t="n">
        <v>0.156704980842912</v>
      </c>
      <c r="C5" s="0" t="n">
        <v>0.220588235294118</v>
      </c>
      <c r="D5" s="0" t="n">
        <v>0.49330214666551</v>
      </c>
      <c r="E5" s="0" t="n">
        <v>0.0025498290707474</v>
      </c>
      <c r="F5" s="0" t="n">
        <v>0.0082869444799293</v>
      </c>
    </row>
    <row r="6" customFormat="false" ht="15" hidden="false" customHeight="false" outlineLevel="0" collapsed="false">
      <c r="A6" s="0" t="s">
        <v>59</v>
      </c>
      <c r="B6" s="0" t="n">
        <v>0.316475095785441</v>
      </c>
      <c r="C6" s="0" t="n">
        <v>0.454459203036053</v>
      </c>
      <c r="D6" s="0" t="n">
        <v>0.522057430035072</v>
      </c>
      <c r="E6" s="0" t="n">
        <v>0.0135821016783949</v>
      </c>
      <c r="F6" s="0" t="n">
        <v>0.0353134643638268</v>
      </c>
    </row>
    <row r="7" customFormat="false" ht="15" hidden="false" customHeight="false" outlineLevel="0" collapsed="false">
      <c r="A7" s="0" t="s">
        <v>21</v>
      </c>
      <c r="B7" s="0" t="n">
        <v>0.223371647509579</v>
      </c>
      <c r="C7" s="0" t="n">
        <v>0.303605313092979</v>
      </c>
      <c r="D7" s="0" t="n">
        <v>0.442749254669811</v>
      </c>
      <c r="E7" s="0" t="n">
        <v>0.0212335386058967</v>
      </c>
      <c r="F7" s="0" t="n">
        <v>0.0460060003127763</v>
      </c>
    </row>
    <row r="8" customFormat="false" ht="15" hidden="false" customHeight="false" outlineLevel="0" collapsed="false">
      <c r="A8" s="0" t="s">
        <v>53</v>
      </c>
      <c r="B8" s="0" t="n">
        <v>0.14367816091954</v>
      </c>
      <c r="C8" s="0" t="n">
        <v>0.120493358633776</v>
      </c>
      <c r="D8" s="0" t="n">
        <v>-0.253885226730412</v>
      </c>
      <c r="E8" s="0" t="n">
        <v>0.0420284582879572</v>
      </c>
      <c r="F8" s="0" t="n">
        <v>0.0762085753092548</v>
      </c>
    </row>
    <row r="9" customFormat="false" ht="15" hidden="false" customHeight="false" outlineLevel="0" collapsed="false">
      <c r="A9" s="0" t="s">
        <v>65</v>
      </c>
      <c r="B9" s="0" t="n">
        <v>0.111494252873563</v>
      </c>
      <c r="C9" s="0" t="n">
        <v>0.144686907020873</v>
      </c>
      <c r="D9" s="0" t="n">
        <v>0.375962060900933</v>
      </c>
      <c r="E9" s="0" t="n">
        <v>0.0468975848056953</v>
      </c>
      <c r="F9" s="0" t="n">
        <v>0.0762085753092548</v>
      </c>
    </row>
    <row r="10" customFormat="false" ht="15" hidden="false" customHeight="false" outlineLevel="0" collapsed="false">
      <c r="A10" s="0" t="s">
        <v>33</v>
      </c>
      <c r="B10" s="0" t="n">
        <v>0.2</v>
      </c>
      <c r="C10" s="0" t="n">
        <v>0.243833017077799</v>
      </c>
      <c r="D10" s="0" t="n">
        <v>0.28589219570847</v>
      </c>
      <c r="E10" s="0" t="n">
        <v>0.140973726759738</v>
      </c>
      <c r="F10" s="0" t="n">
        <v>0.203628716430733</v>
      </c>
    </row>
    <row r="11" customFormat="false" ht="15" hidden="false" customHeight="false" outlineLevel="0" collapsed="false">
      <c r="A11" s="0" t="s">
        <v>27</v>
      </c>
      <c r="B11" s="0" t="n">
        <v>0.0662835249042145</v>
      </c>
      <c r="C11" s="0" t="n">
        <v>0.0697343453510436</v>
      </c>
      <c r="D11" s="0" t="n">
        <v>0.0732179799639118</v>
      </c>
      <c r="E11" s="0" t="n">
        <v>0.6570952939344</v>
      </c>
      <c r="F11" s="0" t="n">
        <v>0.751246410853024</v>
      </c>
    </row>
    <row r="12" customFormat="false" ht="15" hidden="false" customHeight="false" outlineLevel="0" collapsed="false">
      <c r="A12" s="0" t="s">
        <v>62</v>
      </c>
      <c r="B12" s="0" t="n">
        <v>0.0007662835249042</v>
      </c>
      <c r="C12" s="0" t="n">
        <v>0.0004743833017077</v>
      </c>
      <c r="D12" s="0" t="n">
        <v>-0.690668549585426</v>
      </c>
      <c r="E12" s="0" t="n">
        <v>0.692739605955815</v>
      </c>
      <c r="F12" s="0" t="n">
        <v>0.751246410853024</v>
      </c>
    </row>
    <row r="13" customFormat="false" ht="15" hidden="false" customHeight="false" outlineLevel="0" collapsed="false">
      <c r="A13" s="0" t="s">
        <v>49</v>
      </c>
      <c r="B13" s="0" t="n">
        <v>0.226053639846743</v>
      </c>
      <c r="C13" s="0" t="n">
        <v>0.288899430740038</v>
      </c>
      <c r="D13" s="0" t="n">
        <v>0.353900825153158</v>
      </c>
      <c r="E13" s="0" t="n">
        <v>0.693458225402792</v>
      </c>
      <c r="F13" s="0" t="n">
        <v>0.751246410853024</v>
      </c>
    </row>
    <row r="14" customFormat="false" ht="15" hidden="false" customHeight="false" outlineLevel="0" collapsed="false">
      <c r="A14" s="0" t="s">
        <v>75</v>
      </c>
      <c r="B14" s="0" t="n">
        <v>0.0586206896551724</v>
      </c>
      <c r="C14" s="0" t="n">
        <v>0.0635673624288425</v>
      </c>
      <c r="D14" s="0" t="n">
        <v>0.116874372467384</v>
      </c>
      <c r="E14" s="0" t="n">
        <v>0.827088866485254</v>
      </c>
      <c r="F14" s="0" t="n">
        <v>0.827088866485254</v>
      </c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9" min="8" style="0" width="42"/>
  </cols>
  <sheetData>
    <row r="1" customFormat="false" ht="15" hidden="false" customHeight="false" outlineLevel="0" collapsed="false">
      <c r="A1" s="1" t="s">
        <v>484</v>
      </c>
      <c r="B1" s="1" t="s">
        <v>465</v>
      </c>
      <c r="C1" s="1" t="s">
        <v>466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</row>
    <row r="2" customFormat="false" ht="15" hidden="false" customHeight="false" outlineLevel="0" collapsed="false">
      <c r="A2" s="0" t="s">
        <v>59</v>
      </c>
      <c r="B2" s="0" t="s">
        <v>473</v>
      </c>
      <c r="C2" s="0" t="s">
        <v>474</v>
      </c>
      <c r="D2" s="3" t="n">
        <v>0.238679969301612</v>
      </c>
      <c r="E2" s="3" t="n">
        <v>0.149654643131236</v>
      </c>
      <c r="F2" s="3" t="n">
        <f aca="false">AVERAGEIFS($D$2:$D$66,$A$2:$A$66,A2,$C$2:$C$66,"control")</f>
        <v>0.316356051980569</v>
      </c>
      <c r="G2" s="3" t="n">
        <f aca="false">LOG(D2/F2,2)</f>
        <v>-0.406471698830269</v>
      </c>
      <c r="H2" s="0" t="s">
        <v>495</v>
      </c>
      <c r="I2" s="0" t="s">
        <v>496</v>
      </c>
    </row>
    <row r="3" customFormat="false" ht="15" hidden="false" customHeight="false" outlineLevel="0" collapsed="false">
      <c r="A3" s="0" t="s">
        <v>59</v>
      </c>
      <c r="B3" s="0" t="s">
        <v>479</v>
      </c>
      <c r="C3" s="0" t="s">
        <v>474</v>
      </c>
      <c r="D3" s="3" t="n">
        <v>0.394032134659526</v>
      </c>
      <c r="E3" s="3" t="n">
        <v>0.214996174445295</v>
      </c>
      <c r="F3" s="3" t="n">
        <f aca="false">AVERAGEIFS($D$2:$D$66,$A$2:$A$66,A3,$C$2:$C$66,"control")</f>
        <v>0.316356051980569</v>
      </c>
      <c r="G3" s="3" t="n">
        <f aca="false">LOG(D3/F3,2)</f>
        <v>0.316764095882411</v>
      </c>
      <c r="H3" s="0" t="s">
        <v>495</v>
      </c>
      <c r="I3" s="0" t="s">
        <v>496</v>
      </c>
    </row>
    <row r="4" customFormat="false" ht="15" hidden="false" customHeight="false" outlineLevel="0" collapsed="false">
      <c r="A4" s="0" t="s">
        <v>59</v>
      </c>
      <c r="B4" s="0" t="s">
        <v>480</v>
      </c>
      <c r="C4" s="0" t="s">
        <v>481</v>
      </c>
      <c r="D4" s="3" t="n">
        <v>0.343922651933702</v>
      </c>
      <c r="E4" s="3" t="n">
        <v>0.176795580110497</v>
      </c>
      <c r="F4" s="3" t="n">
        <f aca="false">AVERAGEIFS($D$2:$D$66,$A$2:$A$66,A4,$C$2:$C$66,"control")</f>
        <v>0.316356051980569</v>
      </c>
      <c r="G4" s="3" t="n">
        <f aca="false">LOG(D4/F4,2)</f>
        <v>0.120534944592138</v>
      </c>
      <c r="H4" s="0" t="s">
        <v>495</v>
      </c>
      <c r="I4" s="0" t="s">
        <v>496</v>
      </c>
    </row>
    <row r="5" customFormat="false" ht="15" hidden="false" customHeight="false" outlineLevel="0" collapsed="false">
      <c r="A5" s="0" t="s">
        <v>59</v>
      </c>
      <c r="B5" s="0" t="s">
        <v>482</v>
      </c>
      <c r="C5" s="0" t="s">
        <v>481</v>
      </c>
      <c r="D5" s="3" t="n">
        <v>0.388349514563107</v>
      </c>
      <c r="E5" s="3" t="n">
        <v>0.203883495145631</v>
      </c>
      <c r="F5" s="3" t="n">
        <f aca="false">AVERAGEIFS($D$2:$D$66,$A$2:$A$66,A5,$C$2:$C$66,"control")</f>
        <v>0.316356051980569</v>
      </c>
      <c r="G5" s="3" t="n">
        <f aca="false">LOG(D5/F5,2)</f>
        <v>0.295806467311407</v>
      </c>
      <c r="H5" s="0" t="s">
        <v>495</v>
      </c>
      <c r="I5" s="0" t="s">
        <v>496</v>
      </c>
    </row>
    <row r="6" customFormat="false" ht="15" hidden="false" customHeight="false" outlineLevel="0" collapsed="false">
      <c r="A6" s="0" t="s">
        <v>59</v>
      </c>
      <c r="B6" s="0" t="s">
        <v>483</v>
      </c>
      <c r="C6" s="0" t="s">
        <v>481</v>
      </c>
      <c r="D6" s="3" t="n">
        <v>0.647058823529412</v>
      </c>
      <c r="E6" s="3" t="n">
        <v>0.24132730015083</v>
      </c>
      <c r="F6" s="3" t="n">
        <f aca="false">AVERAGEIFS($D$2:$D$66,$A$2:$A$66,A6,$C$2:$C$66,"control")</f>
        <v>0.316356051980569</v>
      </c>
      <c r="G6" s="3" t="n">
        <f aca="false">LOG(D6/F6,2)</f>
        <v>1.03234767699422</v>
      </c>
      <c r="H6" s="0" t="s">
        <v>495</v>
      </c>
      <c r="I6" s="0" t="s">
        <v>496</v>
      </c>
    </row>
    <row r="7" customFormat="false" ht="15" hidden="false" customHeight="false" outlineLevel="0" collapsed="false">
      <c r="A7" s="0" t="s">
        <v>21</v>
      </c>
      <c r="B7" s="0" t="s">
        <v>473</v>
      </c>
      <c r="C7" s="0" t="s">
        <v>474</v>
      </c>
      <c r="D7" s="3" t="n">
        <v>0.16039907904835</v>
      </c>
      <c r="E7" s="3" t="n">
        <v>0.114351496546431</v>
      </c>
      <c r="F7" s="3" t="n">
        <f aca="false">AVERAGEIFS($D$2:$D$66,$A$2:$A$66,A7,$C$2:$C$66,"control")</f>
        <v>0.223275285507343</v>
      </c>
      <c r="G7" s="3" t="n">
        <f aca="false">LOG(D7/F7,2)</f>
        <v>-0.477157708706149</v>
      </c>
      <c r="H7" s="0" t="s">
        <v>495</v>
      </c>
      <c r="I7" s="0" t="s">
        <v>496</v>
      </c>
    </row>
    <row r="8" customFormat="false" ht="15" hidden="false" customHeight="false" outlineLevel="0" collapsed="false">
      <c r="A8" s="0" t="s">
        <v>21</v>
      </c>
      <c r="B8" s="0" t="s">
        <v>479</v>
      </c>
      <c r="C8" s="0" t="s">
        <v>474</v>
      </c>
      <c r="D8" s="3" t="n">
        <v>0.286151491966335</v>
      </c>
      <c r="E8" s="3" t="n">
        <v>0.175975516449885</v>
      </c>
      <c r="F8" s="3" t="n">
        <f aca="false">AVERAGEIFS($D$2:$D$66,$A$2:$A$66,A8,$C$2:$C$66,"control")</f>
        <v>0.223275285507343</v>
      </c>
      <c r="G8" s="3" t="n">
        <f aca="false">LOG(D8/F8,2)</f>
        <v>0.357955561873307</v>
      </c>
      <c r="H8" s="0" t="s">
        <v>495</v>
      </c>
      <c r="I8" s="0" t="s">
        <v>496</v>
      </c>
    </row>
    <row r="9" customFormat="false" ht="15" hidden="false" customHeight="false" outlineLevel="0" collapsed="false">
      <c r="A9" s="0" t="s">
        <v>21</v>
      </c>
      <c r="B9" s="0" t="s">
        <v>480</v>
      </c>
      <c r="C9" s="0" t="s">
        <v>481</v>
      </c>
      <c r="D9" s="3" t="n">
        <v>0.225138121546961</v>
      </c>
      <c r="E9" s="3" t="n">
        <v>0.150552486187845</v>
      </c>
      <c r="F9" s="3" t="n">
        <f aca="false">AVERAGEIFS($D$2:$D$66,$A$2:$A$66,A9,$C$2:$C$66,"control")</f>
        <v>0.223275285507343</v>
      </c>
      <c r="G9" s="3" t="n">
        <f aca="false">LOG(D9/F9,2)</f>
        <v>0.0119867949289755</v>
      </c>
      <c r="H9" s="0" t="s">
        <v>495</v>
      </c>
      <c r="I9" s="0" t="s">
        <v>496</v>
      </c>
    </row>
    <row r="10" customFormat="false" ht="15" hidden="false" customHeight="false" outlineLevel="0" collapsed="false">
      <c r="A10" s="0" t="s">
        <v>21</v>
      </c>
      <c r="B10" s="0" t="s">
        <v>482</v>
      </c>
      <c r="C10" s="0" t="s">
        <v>481</v>
      </c>
      <c r="D10" s="3" t="n">
        <v>0.271844660194175</v>
      </c>
      <c r="E10" s="3" t="n">
        <v>0.155339805825243</v>
      </c>
      <c r="F10" s="3" t="n">
        <f aca="false">AVERAGEIFS($D$2:$D$66,$A$2:$A$66,A10,$C$2:$C$66,"control")</f>
        <v>0.223275285507343</v>
      </c>
      <c r="G10" s="3" t="n">
        <f aca="false">LOG(D10/F10,2)</f>
        <v>0.283958922655489</v>
      </c>
      <c r="H10" s="0" t="s">
        <v>495</v>
      </c>
      <c r="I10" s="0" t="s">
        <v>496</v>
      </c>
    </row>
    <row r="11" customFormat="false" ht="15" hidden="false" customHeight="false" outlineLevel="0" collapsed="false">
      <c r="A11" s="0" t="s">
        <v>21</v>
      </c>
      <c r="B11" s="0" t="s">
        <v>483</v>
      </c>
      <c r="C11" s="0" t="s">
        <v>481</v>
      </c>
      <c r="D11" s="3" t="n">
        <v>0.423831070889894</v>
      </c>
      <c r="E11" s="3" t="n">
        <v>0.197586726998492</v>
      </c>
      <c r="F11" s="3" t="n">
        <f aca="false">AVERAGEIFS($D$2:$D$66,$A$2:$A$66,A11,$C$2:$C$66,"control")</f>
        <v>0.223275285507343</v>
      </c>
      <c r="G11" s="3" t="n">
        <f aca="false">LOG(D11/F11,2)</f>
        <v>0.924665787889442</v>
      </c>
      <c r="H11" s="0" t="s">
        <v>495</v>
      </c>
      <c r="I11" s="0" t="s">
        <v>496</v>
      </c>
    </row>
    <row r="12" customFormat="false" ht="15" hidden="false" customHeight="false" outlineLevel="0" collapsed="false">
      <c r="A12" s="0" t="s">
        <v>49</v>
      </c>
      <c r="B12" s="0" t="s">
        <v>473</v>
      </c>
      <c r="C12" s="0" t="s">
        <v>474</v>
      </c>
      <c r="D12" s="3" t="n">
        <v>0.183422870299309</v>
      </c>
      <c r="E12" s="3" t="n">
        <v>0.118188795088258</v>
      </c>
      <c r="F12" s="3" t="n">
        <f aca="false">AVERAGEIFS($D$2:$D$66,$A$2:$A$66,A12,$C$2:$C$66,"control")</f>
        <v>0.225988405310328</v>
      </c>
      <c r="G12" s="3" t="n">
        <f aca="false">LOG(D12/F12,2)</f>
        <v>-0.301075220506853</v>
      </c>
      <c r="H12" s="0" t="s">
        <v>495</v>
      </c>
      <c r="I12" s="0" t="s">
        <v>496</v>
      </c>
    </row>
    <row r="13" customFormat="false" ht="15" hidden="false" customHeight="false" outlineLevel="0" collapsed="false">
      <c r="A13" s="0" t="s">
        <v>49</v>
      </c>
      <c r="B13" s="0" t="s">
        <v>479</v>
      </c>
      <c r="C13" s="0" t="s">
        <v>474</v>
      </c>
      <c r="D13" s="3" t="n">
        <v>0.268553940321347</v>
      </c>
      <c r="E13" s="3" t="n">
        <v>0.163733741392502</v>
      </c>
      <c r="F13" s="3" t="n">
        <f aca="false">AVERAGEIFS($D$2:$D$66,$A$2:$A$66,A13,$C$2:$C$66,"control")</f>
        <v>0.225988405310328</v>
      </c>
      <c r="G13" s="3" t="n">
        <f aca="false">LOG(D13/F13,2)</f>
        <v>0.24896313458966</v>
      </c>
      <c r="H13" s="0" t="s">
        <v>495</v>
      </c>
      <c r="I13" s="0" t="s">
        <v>496</v>
      </c>
    </row>
    <row r="14" customFormat="false" ht="15" hidden="false" customHeight="false" outlineLevel="0" collapsed="false">
      <c r="A14" s="0" t="s">
        <v>49</v>
      </c>
      <c r="B14" s="0" t="s">
        <v>480</v>
      </c>
      <c r="C14" s="0" t="s">
        <v>481</v>
      </c>
      <c r="D14" s="3" t="n">
        <v>0.19475138121547</v>
      </c>
      <c r="E14" s="3" t="n">
        <v>0.113259668508287</v>
      </c>
      <c r="F14" s="3" t="n">
        <f aca="false">AVERAGEIFS($D$2:$D$66,$A$2:$A$66,A14,$C$2:$C$66,"control")</f>
        <v>0.225988405310328</v>
      </c>
      <c r="G14" s="3" t="n">
        <f aca="false">LOG(D14/F14,2)</f>
        <v>-0.214615194603879</v>
      </c>
      <c r="H14" s="0" t="s">
        <v>495</v>
      </c>
      <c r="I14" s="0" t="s">
        <v>496</v>
      </c>
    </row>
    <row r="15" customFormat="false" ht="15" hidden="false" customHeight="false" outlineLevel="0" collapsed="false">
      <c r="A15" s="0" t="s">
        <v>49</v>
      </c>
      <c r="B15" s="0" t="s">
        <v>482</v>
      </c>
      <c r="C15" s="0" t="s">
        <v>481</v>
      </c>
      <c r="D15" s="3" t="n">
        <v>0.273231622746186</v>
      </c>
      <c r="E15" s="3" t="n">
        <v>0.142857142857143</v>
      </c>
      <c r="F15" s="3" t="n">
        <f aca="false">AVERAGEIFS($D$2:$D$66,$A$2:$A$66,A15,$C$2:$C$66,"control")</f>
        <v>0.225988405310328</v>
      </c>
      <c r="G15" s="3" t="n">
        <f aca="false">LOG(D15/F15,2)</f>
        <v>0.273875710296086</v>
      </c>
      <c r="H15" s="0" t="s">
        <v>495</v>
      </c>
      <c r="I15" s="0" t="s">
        <v>496</v>
      </c>
    </row>
    <row r="16" customFormat="false" ht="15" hidden="false" customHeight="false" outlineLevel="0" collapsed="false">
      <c r="A16" s="0" t="s">
        <v>49</v>
      </c>
      <c r="B16" s="0" t="s">
        <v>483</v>
      </c>
      <c r="C16" s="0" t="s">
        <v>481</v>
      </c>
      <c r="D16" s="3" t="n">
        <v>0.408748114630468</v>
      </c>
      <c r="E16" s="3" t="n">
        <v>0.170437405731523</v>
      </c>
      <c r="F16" s="3" t="n">
        <f aca="false">AVERAGEIFS($D$2:$D$66,$A$2:$A$66,A16,$C$2:$C$66,"control")</f>
        <v>0.225988405310328</v>
      </c>
      <c r="G16" s="3" t="n">
        <f aca="false">LOG(D16/F16,2)</f>
        <v>0.854963321321816</v>
      </c>
      <c r="H16" s="0" t="s">
        <v>495</v>
      </c>
      <c r="I16" s="0" t="s">
        <v>496</v>
      </c>
    </row>
    <row r="17" customFormat="false" ht="15" hidden="false" customHeight="false" outlineLevel="0" collapsed="false">
      <c r="A17" s="0" t="s">
        <v>78</v>
      </c>
      <c r="B17" s="0" t="s">
        <v>473</v>
      </c>
      <c r="C17" s="0" t="s">
        <v>474</v>
      </c>
      <c r="D17" s="3" t="n">
        <v>0.0406753645433614</v>
      </c>
      <c r="E17" s="3" t="n">
        <v>0.0353031465848042</v>
      </c>
      <c r="F17" s="3" t="n">
        <f aca="false">AVERAGEIFS($D$2:$D$66,$A$2:$A$66,A17,$C$2:$C$66,"control")</f>
        <v>0.0494118980329661</v>
      </c>
      <c r="G17" s="3" t="n">
        <f aca="false">LOG(D17/F17,2)</f>
        <v>-0.280703198557527</v>
      </c>
      <c r="H17" s="0" t="s">
        <v>495</v>
      </c>
      <c r="I17" s="0" t="s">
        <v>496</v>
      </c>
    </row>
    <row r="18" customFormat="false" ht="15" hidden="false" customHeight="false" outlineLevel="0" collapsed="false">
      <c r="A18" s="0" t="s">
        <v>78</v>
      </c>
      <c r="B18" s="0" t="s">
        <v>479</v>
      </c>
      <c r="C18" s="0" t="s">
        <v>474</v>
      </c>
      <c r="D18" s="3" t="n">
        <v>0.0581484315225707</v>
      </c>
      <c r="E18" s="3" t="n">
        <v>0.0512624330527926</v>
      </c>
      <c r="F18" s="3" t="n">
        <f aca="false">AVERAGEIFS($D$2:$D$66,$A$2:$A$66,A18,$C$2:$C$66,"control")</f>
        <v>0.0494118980329661</v>
      </c>
      <c r="G18" s="3" t="n">
        <f aca="false">LOG(D18/F18,2)</f>
        <v>0.234881803095561</v>
      </c>
      <c r="H18" s="0" t="s">
        <v>495</v>
      </c>
      <c r="I18" s="0" t="s">
        <v>496</v>
      </c>
    </row>
    <row r="19" customFormat="false" ht="15" hidden="false" customHeight="false" outlineLevel="0" collapsed="false">
      <c r="A19" s="0" t="s">
        <v>78</v>
      </c>
      <c r="B19" s="0" t="s">
        <v>480</v>
      </c>
      <c r="C19" s="0" t="s">
        <v>481</v>
      </c>
      <c r="D19" s="3" t="n">
        <v>0.0911602209944751</v>
      </c>
      <c r="E19" s="3" t="n">
        <v>0.074585635359116</v>
      </c>
      <c r="F19" s="3" t="n">
        <f aca="false">AVERAGEIFS($D$2:$D$66,$A$2:$A$66,A19,$C$2:$C$66,"control")</f>
        <v>0.0494118980329661</v>
      </c>
      <c r="G19" s="3" t="n">
        <f aca="false">LOG(D19/F19,2)</f>
        <v>0.883545947722658</v>
      </c>
      <c r="H19" s="0" t="s">
        <v>495</v>
      </c>
      <c r="I19" s="0" t="s">
        <v>496</v>
      </c>
    </row>
    <row r="20" customFormat="false" ht="15" hidden="false" customHeight="false" outlineLevel="0" collapsed="false">
      <c r="A20" s="0" t="s">
        <v>78</v>
      </c>
      <c r="B20" s="0" t="s">
        <v>482</v>
      </c>
      <c r="C20" s="0" t="s">
        <v>481</v>
      </c>
      <c r="D20" s="3" t="n">
        <v>0.0721220527045769</v>
      </c>
      <c r="E20" s="3" t="n">
        <v>0.0568654646324549</v>
      </c>
      <c r="F20" s="3" t="n">
        <f aca="false">AVERAGEIFS($D$2:$D$66,$A$2:$A$66,A20,$C$2:$C$66,"control")</f>
        <v>0.0494118980329661</v>
      </c>
      <c r="G20" s="3" t="n">
        <f aca="false">LOG(D20/F20,2)</f>
        <v>0.545581984347679</v>
      </c>
      <c r="H20" s="0" t="s">
        <v>495</v>
      </c>
      <c r="I20" s="0" t="s">
        <v>496</v>
      </c>
    </row>
    <row r="21" customFormat="false" ht="15" hidden="false" customHeight="false" outlineLevel="0" collapsed="false">
      <c r="A21" s="0" t="s">
        <v>78</v>
      </c>
      <c r="B21" s="0" t="s">
        <v>483</v>
      </c>
      <c r="C21" s="0" t="s">
        <v>481</v>
      </c>
      <c r="D21" s="3" t="n">
        <v>0.102564102564103</v>
      </c>
      <c r="E21" s="3" t="n">
        <v>0.090497737556561</v>
      </c>
      <c r="F21" s="3" t="n">
        <f aca="false">AVERAGEIFS($D$2:$D$66,$A$2:$A$66,A21,$C$2:$C$66,"control")</f>
        <v>0.0494118980329661</v>
      </c>
      <c r="G21" s="3" t="n">
        <f aca="false">LOG(D21/F21,2)</f>
        <v>1.05359549658516</v>
      </c>
      <c r="H21" s="0" t="s">
        <v>495</v>
      </c>
      <c r="I21" s="0" t="s">
        <v>496</v>
      </c>
    </row>
    <row r="22" customFormat="false" ht="15" hidden="false" customHeight="false" outlineLevel="0" collapsed="false">
      <c r="A22" s="0" t="s">
        <v>81</v>
      </c>
      <c r="B22" s="0" t="s">
        <v>473</v>
      </c>
      <c r="C22" s="0" t="s">
        <v>474</v>
      </c>
      <c r="D22" s="3" t="n">
        <v>0.195702225633154</v>
      </c>
      <c r="E22" s="3" t="n">
        <v>0.12432847275518</v>
      </c>
      <c r="F22" s="3" t="n">
        <f aca="false">AVERAGEIFS($D$2:$D$66,$A$2:$A$66,A22,$C$2:$C$66,"control")</f>
        <v>0.28186029414787</v>
      </c>
      <c r="G22" s="3" t="n">
        <f aca="false">LOG(D22/F22,2)</f>
        <v>-0.52632009560804</v>
      </c>
      <c r="H22" s="0" t="s">
        <v>495</v>
      </c>
      <c r="I22" s="0" t="s">
        <v>496</v>
      </c>
    </row>
    <row r="23" customFormat="false" ht="15" hidden="false" customHeight="false" outlineLevel="0" collapsed="false">
      <c r="A23" s="0" t="s">
        <v>81</v>
      </c>
      <c r="B23" s="0" t="s">
        <v>479</v>
      </c>
      <c r="C23" s="0" t="s">
        <v>474</v>
      </c>
      <c r="D23" s="3" t="n">
        <v>0.368018362662586</v>
      </c>
      <c r="E23" s="3" t="n">
        <v>0.210405508798776</v>
      </c>
      <c r="F23" s="3" t="n">
        <f aca="false">AVERAGEIFS($D$2:$D$66,$A$2:$A$66,A23,$C$2:$C$66,"control")</f>
        <v>0.28186029414787</v>
      </c>
      <c r="G23" s="3" t="n">
        <f aca="false">LOG(D23/F23,2)</f>
        <v>0.384797494075846</v>
      </c>
      <c r="H23" s="0" t="s">
        <v>495</v>
      </c>
      <c r="I23" s="0" t="s">
        <v>496</v>
      </c>
    </row>
    <row r="24" customFormat="false" ht="15" hidden="false" customHeight="false" outlineLevel="0" collapsed="false">
      <c r="A24" s="0" t="s">
        <v>81</v>
      </c>
      <c r="B24" s="0" t="s">
        <v>480</v>
      </c>
      <c r="C24" s="0" t="s">
        <v>481</v>
      </c>
      <c r="D24" s="3" t="n">
        <v>0.337016574585635</v>
      </c>
      <c r="E24" s="3" t="n">
        <v>0.161602209944751</v>
      </c>
      <c r="F24" s="3" t="n">
        <f aca="false">AVERAGEIFS($D$2:$D$66,$A$2:$A$66,A24,$C$2:$C$66,"control")</f>
        <v>0.28186029414787</v>
      </c>
      <c r="G24" s="3" t="n">
        <f aca="false">LOG(D24/F24,2)</f>
        <v>0.257839286580918</v>
      </c>
      <c r="H24" s="0" t="s">
        <v>495</v>
      </c>
      <c r="I24" s="0" t="s">
        <v>496</v>
      </c>
    </row>
    <row r="25" customFormat="false" ht="15" hidden="false" customHeight="false" outlineLevel="0" collapsed="false">
      <c r="A25" s="0" t="s">
        <v>81</v>
      </c>
      <c r="B25" s="0" t="s">
        <v>482</v>
      </c>
      <c r="C25" s="0" t="s">
        <v>481</v>
      </c>
      <c r="D25" s="3" t="n">
        <v>0.413314840499307</v>
      </c>
      <c r="E25" s="3" t="n">
        <v>0.19001386962552</v>
      </c>
      <c r="F25" s="3" t="n">
        <f aca="false">AVERAGEIFS($D$2:$D$66,$A$2:$A$66,A25,$C$2:$C$66,"control")</f>
        <v>0.28186029414787</v>
      </c>
      <c r="G25" s="3" t="n">
        <f aca="false">LOG(D25/F25,2)</f>
        <v>0.552260907322576</v>
      </c>
      <c r="H25" s="0" t="s">
        <v>495</v>
      </c>
      <c r="I25" s="0" t="s">
        <v>496</v>
      </c>
    </row>
    <row r="26" customFormat="false" ht="15" hidden="false" customHeight="false" outlineLevel="0" collapsed="false">
      <c r="A26" s="0" t="s">
        <v>81</v>
      </c>
      <c r="B26" s="0" t="s">
        <v>483</v>
      </c>
      <c r="C26" s="0" t="s">
        <v>481</v>
      </c>
      <c r="D26" s="3" t="n">
        <v>0.55052790346908</v>
      </c>
      <c r="E26" s="3" t="n">
        <v>0.257918552036199</v>
      </c>
      <c r="F26" s="3" t="n">
        <f aca="false">AVERAGEIFS($D$2:$D$66,$A$2:$A$66,A26,$C$2:$C$66,"control")</f>
        <v>0.28186029414787</v>
      </c>
      <c r="G26" s="3" t="n">
        <f aca="false">LOG(D26/F26,2)</f>
        <v>0.965835429756029</v>
      </c>
      <c r="H26" s="0" t="s">
        <v>495</v>
      </c>
      <c r="I26" s="0" t="s">
        <v>496</v>
      </c>
    </row>
    <row r="27" customFormat="false" ht="15" hidden="false" customHeight="false" outlineLevel="0" collapsed="false">
      <c r="A27" s="0" t="s">
        <v>68</v>
      </c>
      <c r="B27" s="0" t="s">
        <v>473</v>
      </c>
      <c r="C27" s="0" t="s">
        <v>474</v>
      </c>
      <c r="D27" s="3" t="n">
        <v>0.117421335379893</v>
      </c>
      <c r="E27" s="3" t="n">
        <v>0.0828856485034535</v>
      </c>
      <c r="F27" s="3" t="n">
        <f aca="false">AVERAGEIFS($D$2:$D$66,$A$2:$A$66,A27,$C$2:$C$66,"control")</f>
        <v>0.156644868149013</v>
      </c>
      <c r="G27" s="3" t="n">
        <f aca="false">LOG(D27/F27,2)</f>
        <v>-0.415802937261116</v>
      </c>
      <c r="H27" s="0" t="s">
        <v>495</v>
      </c>
      <c r="I27" s="0" t="s">
        <v>496</v>
      </c>
    </row>
    <row r="28" customFormat="false" ht="15" hidden="false" customHeight="false" outlineLevel="0" collapsed="false">
      <c r="A28" s="0" t="s">
        <v>68</v>
      </c>
      <c r="B28" s="0" t="s">
        <v>479</v>
      </c>
      <c r="C28" s="0" t="s">
        <v>474</v>
      </c>
      <c r="D28" s="3" t="n">
        <v>0.195868400918133</v>
      </c>
      <c r="E28" s="3" t="n">
        <v>0.142310635042081</v>
      </c>
      <c r="F28" s="3" t="n">
        <f aca="false">AVERAGEIFS($D$2:$D$66,$A$2:$A$66,A28,$C$2:$C$66,"control")</f>
        <v>0.156644868149013</v>
      </c>
      <c r="G28" s="3" t="n">
        <f aca="false">LOG(D28/F28,2)</f>
        <v>0.322387162818934</v>
      </c>
      <c r="H28" s="0" t="s">
        <v>495</v>
      </c>
      <c r="I28" s="0" t="s">
        <v>496</v>
      </c>
    </row>
    <row r="29" customFormat="false" ht="15" hidden="false" customHeight="false" outlineLevel="0" collapsed="false">
      <c r="A29" s="0" t="s">
        <v>68</v>
      </c>
      <c r="B29" s="0" t="s">
        <v>480</v>
      </c>
      <c r="C29" s="0" t="s">
        <v>481</v>
      </c>
      <c r="D29" s="3" t="n">
        <v>0.169889502762431</v>
      </c>
      <c r="E29" s="3" t="n">
        <v>0.11878453038674</v>
      </c>
      <c r="F29" s="3" t="n">
        <f aca="false">AVERAGEIFS($D$2:$D$66,$A$2:$A$66,A29,$C$2:$C$66,"control")</f>
        <v>0.156644868149013</v>
      </c>
      <c r="G29" s="3" t="n">
        <f aca="false">LOG(D29/F29,2)</f>
        <v>0.117099206870401</v>
      </c>
      <c r="H29" s="0" t="s">
        <v>495</v>
      </c>
      <c r="I29" s="0" t="s">
        <v>496</v>
      </c>
    </row>
    <row r="30" customFormat="false" ht="15" hidden="false" customHeight="false" outlineLevel="0" collapsed="false">
      <c r="A30" s="0" t="s">
        <v>68</v>
      </c>
      <c r="B30" s="0" t="s">
        <v>482</v>
      </c>
      <c r="C30" s="0" t="s">
        <v>481</v>
      </c>
      <c r="D30" s="3" t="n">
        <v>0.181692094313454</v>
      </c>
      <c r="E30" s="3" t="n">
        <v>0.122052704576976</v>
      </c>
      <c r="F30" s="3" t="n">
        <f aca="false">AVERAGEIFS($D$2:$D$66,$A$2:$A$66,A30,$C$2:$C$66,"control")</f>
        <v>0.156644868149013</v>
      </c>
      <c r="G30" s="3" t="n">
        <f aca="false">LOG(D30/F30,2)</f>
        <v>0.213998140910995</v>
      </c>
      <c r="H30" s="0" t="s">
        <v>495</v>
      </c>
      <c r="I30" s="0" t="s">
        <v>496</v>
      </c>
    </row>
    <row r="31" customFormat="false" ht="15" hidden="false" customHeight="false" outlineLevel="0" collapsed="false">
      <c r="A31" s="0" t="s">
        <v>68</v>
      </c>
      <c r="B31" s="0" t="s">
        <v>483</v>
      </c>
      <c r="C31" s="0" t="s">
        <v>481</v>
      </c>
      <c r="D31" s="3" t="n">
        <v>0.318250377073906</v>
      </c>
      <c r="E31" s="3" t="n">
        <v>0.184012066365008</v>
      </c>
      <c r="F31" s="3" t="n">
        <f aca="false">AVERAGEIFS($D$2:$D$66,$A$2:$A$66,A31,$C$2:$C$66,"control")</f>
        <v>0.156644868149013</v>
      </c>
      <c r="G31" s="3" t="n">
        <f aca="false">LOG(D31/F31,2)</f>
        <v>1.02266471720896</v>
      </c>
      <c r="H31" s="0" t="s">
        <v>495</v>
      </c>
      <c r="I31" s="0" t="s">
        <v>496</v>
      </c>
    </row>
    <row r="32" customFormat="false" ht="15" hidden="false" customHeight="false" outlineLevel="0" collapsed="false">
      <c r="A32" s="0" t="s">
        <v>62</v>
      </c>
      <c r="B32" s="0" t="s">
        <v>473</v>
      </c>
      <c r="C32" s="0" t="s">
        <v>474</v>
      </c>
      <c r="D32" s="3" t="n">
        <v>0</v>
      </c>
      <c r="E32" s="3" t="n">
        <v>0</v>
      </c>
      <c r="F32" s="3" t="n">
        <f aca="false">AVERAGEIFS($D$2:$D$66,$A$2:$A$66,A32,$C$2:$C$66,"control")</f>
        <v>0.00076511094108645</v>
      </c>
      <c r="G32" s="3"/>
      <c r="H32" s="0" t="s">
        <v>495</v>
      </c>
      <c r="I32" s="0" t="s">
        <v>496</v>
      </c>
    </row>
    <row r="33" customFormat="false" ht="15" hidden="false" customHeight="false" outlineLevel="0" collapsed="false">
      <c r="A33" s="0" t="s">
        <v>62</v>
      </c>
      <c r="B33" s="0" t="s">
        <v>479</v>
      </c>
      <c r="C33" s="0" t="s">
        <v>474</v>
      </c>
      <c r="D33" s="3" t="n">
        <v>0.0015302218821729</v>
      </c>
      <c r="E33" s="3" t="n">
        <v>0.0015302218821729</v>
      </c>
      <c r="F33" s="3" t="n">
        <f aca="false">AVERAGEIFS($D$2:$D$66,$A$2:$A$66,A33,$C$2:$C$66,"control")</f>
        <v>0.00076511094108645</v>
      </c>
      <c r="G33" s="3" t="n">
        <f aca="false">LOG(D33/F33,2)</f>
        <v>1</v>
      </c>
      <c r="H33" s="0" t="s">
        <v>495</v>
      </c>
      <c r="I33" s="0" t="s">
        <v>496</v>
      </c>
    </row>
    <row r="34" customFormat="false" ht="15" hidden="false" customHeight="false" outlineLevel="0" collapsed="false">
      <c r="A34" s="0" t="s">
        <v>62</v>
      </c>
      <c r="B34" s="0" t="s">
        <v>480</v>
      </c>
      <c r="C34" s="0" t="s">
        <v>481</v>
      </c>
      <c r="D34" s="3" t="n">
        <v>0.0013812154696132</v>
      </c>
      <c r="E34" s="3" t="n">
        <v>0.0013812154696132</v>
      </c>
      <c r="F34" s="3" t="n">
        <f aca="false">AVERAGEIFS($D$2:$D$66,$A$2:$A$66,A34,$C$2:$C$66,"control")</f>
        <v>0.00076511094108645</v>
      </c>
      <c r="G34" s="3" t="n">
        <f aca="false">LOG(D34/F34,2)</f>
        <v>0.85219753871218</v>
      </c>
      <c r="H34" s="0" t="s">
        <v>495</v>
      </c>
      <c r="I34" s="0" t="s">
        <v>496</v>
      </c>
    </row>
    <row r="35" customFormat="false" ht="15" hidden="false" customHeight="false" outlineLevel="0" collapsed="false">
      <c r="A35" s="0" t="s">
        <v>62</v>
      </c>
      <c r="B35" s="0" t="s">
        <v>482</v>
      </c>
      <c r="C35" s="0" t="s">
        <v>481</v>
      </c>
      <c r="D35" s="3" t="n">
        <v>0</v>
      </c>
      <c r="E35" s="3" t="n">
        <v>0</v>
      </c>
      <c r="F35" s="3" t="n">
        <f aca="false">AVERAGEIFS($D$2:$D$66,$A$2:$A$66,A35,$C$2:$C$66,"control")</f>
        <v>0.00076511094108645</v>
      </c>
      <c r="G35" s="3"/>
      <c r="H35" s="0" t="s">
        <v>495</v>
      </c>
      <c r="I35" s="0" t="s">
        <v>496</v>
      </c>
    </row>
    <row r="36" customFormat="false" ht="15" hidden="false" customHeight="false" outlineLevel="0" collapsed="false">
      <c r="A36" s="0" t="s">
        <v>62</v>
      </c>
      <c r="B36" s="0" t="s">
        <v>483</v>
      </c>
      <c r="C36" s="0" t="s">
        <v>481</v>
      </c>
      <c r="D36" s="3" t="n">
        <v>0</v>
      </c>
      <c r="E36" s="3" t="n">
        <v>0</v>
      </c>
      <c r="F36" s="3" t="n">
        <f aca="false">AVERAGEIFS($D$2:$D$66,$A$2:$A$66,A36,$C$2:$C$66,"control")</f>
        <v>0.00076511094108645</v>
      </c>
      <c r="G36" s="3"/>
      <c r="H36" s="0" t="s">
        <v>495</v>
      </c>
      <c r="I36" s="0" t="s">
        <v>496</v>
      </c>
    </row>
    <row r="37" customFormat="false" ht="15" hidden="false" customHeight="false" outlineLevel="0" collapsed="false">
      <c r="A37" s="0" t="s">
        <v>33</v>
      </c>
      <c r="B37" s="0" t="s">
        <v>473</v>
      </c>
      <c r="C37" s="0" t="s">
        <v>474</v>
      </c>
      <c r="D37" s="3" t="n">
        <v>0.14735226400614</v>
      </c>
      <c r="E37" s="3" t="n">
        <v>0.120491174213354</v>
      </c>
      <c r="F37" s="3" t="n">
        <f aca="false">AVERAGEIFS($D$2:$D$66,$A$2:$A$66,A37,$C$2:$C$66,"control")</f>
        <v>0.199919437282335</v>
      </c>
      <c r="G37" s="3" t="n">
        <f aca="false">LOG(D37/F37,2)</f>
        <v>-0.440149518716925</v>
      </c>
      <c r="H37" s="0" t="s">
        <v>495</v>
      </c>
      <c r="I37" s="0" t="s">
        <v>496</v>
      </c>
    </row>
    <row r="38" customFormat="false" ht="15" hidden="false" customHeight="false" outlineLevel="0" collapsed="false">
      <c r="A38" s="0" t="s">
        <v>33</v>
      </c>
      <c r="B38" s="0" t="s">
        <v>479</v>
      </c>
      <c r="C38" s="0" t="s">
        <v>474</v>
      </c>
      <c r="D38" s="3" t="n">
        <v>0.252486610558531</v>
      </c>
      <c r="E38" s="3" t="n">
        <v>0.180566182096404</v>
      </c>
      <c r="F38" s="3" t="n">
        <f aca="false">AVERAGEIFS($D$2:$D$66,$A$2:$A$66,A38,$C$2:$C$66,"control")</f>
        <v>0.199919437282335</v>
      </c>
      <c r="G38" s="3" t="n">
        <f aca="false">LOG(D38/F38,2)</f>
        <v>0.336788137580437</v>
      </c>
      <c r="H38" s="0" t="s">
        <v>495</v>
      </c>
      <c r="I38" s="0" t="s">
        <v>496</v>
      </c>
    </row>
    <row r="39" customFormat="false" ht="15" hidden="false" customHeight="false" outlineLevel="0" collapsed="false">
      <c r="A39" s="0" t="s">
        <v>33</v>
      </c>
      <c r="B39" s="0" t="s">
        <v>480</v>
      </c>
      <c r="C39" s="0" t="s">
        <v>481</v>
      </c>
      <c r="D39" s="3" t="n">
        <v>0.18646408839779</v>
      </c>
      <c r="E39" s="3" t="n">
        <v>0.133977900552486</v>
      </c>
      <c r="F39" s="3" t="n">
        <f aca="false">AVERAGEIFS($D$2:$D$66,$A$2:$A$66,A39,$C$2:$C$66,"control")</f>
        <v>0.199919437282335</v>
      </c>
      <c r="G39" s="3" t="n">
        <f aca="false">LOG(D39/F39,2)</f>
        <v>-0.100520940902321</v>
      </c>
      <c r="H39" s="0" t="s">
        <v>495</v>
      </c>
      <c r="I39" s="0" t="s">
        <v>496</v>
      </c>
    </row>
    <row r="40" customFormat="false" ht="15" hidden="false" customHeight="false" outlineLevel="0" collapsed="false">
      <c r="A40" s="0" t="s">
        <v>33</v>
      </c>
      <c r="B40" s="0" t="s">
        <v>482</v>
      </c>
      <c r="C40" s="0" t="s">
        <v>481</v>
      </c>
      <c r="D40" s="3" t="n">
        <v>0.231622746185853</v>
      </c>
      <c r="E40" s="3" t="n">
        <v>0.159500693481276</v>
      </c>
      <c r="F40" s="3" t="n">
        <f aca="false">AVERAGEIFS($D$2:$D$66,$A$2:$A$66,A40,$C$2:$C$66,"control")</f>
        <v>0.199919437282335</v>
      </c>
      <c r="G40" s="3" t="n">
        <f aca="false">LOG(D40/F40,2)</f>
        <v>0.212358192363284</v>
      </c>
      <c r="H40" s="0" t="s">
        <v>495</v>
      </c>
      <c r="I40" s="0" t="s">
        <v>496</v>
      </c>
    </row>
    <row r="41" customFormat="false" ht="15" hidden="false" customHeight="false" outlineLevel="0" collapsed="false">
      <c r="A41" s="0" t="s">
        <v>33</v>
      </c>
      <c r="B41" s="0" t="s">
        <v>483</v>
      </c>
      <c r="C41" s="0" t="s">
        <v>481</v>
      </c>
      <c r="D41" s="3" t="n">
        <v>0.319758672699849</v>
      </c>
      <c r="E41" s="3" t="n">
        <v>0.20211161387632</v>
      </c>
      <c r="F41" s="3" t="n">
        <f aca="false">AVERAGEIFS($D$2:$D$66,$A$2:$A$66,A41,$C$2:$C$66,"control")</f>
        <v>0.199919437282335</v>
      </c>
      <c r="G41" s="3" t="n">
        <f aca="false">LOG(D41/F41,2)</f>
        <v>0.677564743580665</v>
      </c>
      <c r="H41" s="0" t="s">
        <v>495</v>
      </c>
      <c r="I41" s="0" t="s">
        <v>496</v>
      </c>
    </row>
    <row r="42" customFormat="false" ht="15" hidden="false" customHeight="false" outlineLevel="0" collapsed="false">
      <c r="A42" s="0" t="s">
        <v>75</v>
      </c>
      <c r="B42" s="0" t="s">
        <v>473</v>
      </c>
      <c r="C42" s="0" t="s">
        <v>474</v>
      </c>
      <c r="D42" s="3" t="n">
        <v>0.0383729854182655</v>
      </c>
      <c r="E42" s="3" t="n">
        <v>0.0337682271680736</v>
      </c>
      <c r="F42" s="3" t="n">
        <f aca="false">AVERAGEIFS($D$2:$D$66,$A$2:$A$66,A42,$C$2:$C$66,"control")</f>
        <v>0.0585897061750853</v>
      </c>
      <c r="G42" s="3" t="n">
        <f aca="false">LOG(D42/F42,2)</f>
        <v>-0.610556203927677</v>
      </c>
      <c r="H42" s="0" t="s">
        <v>495</v>
      </c>
      <c r="I42" s="0" t="s">
        <v>496</v>
      </c>
    </row>
    <row r="43" customFormat="false" ht="15" hidden="false" customHeight="false" outlineLevel="0" collapsed="false">
      <c r="A43" s="0" t="s">
        <v>75</v>
      </c>
      <c r="B43" s="0" t="s">
        <v>479</v>
      </c>
      <c r="C43" s="0" t="s">
        <v>474</v>
      </c>
      <c r="D43" s="3" t="n">
        <v>0.0788064269319051</v>
      </c>
      <c r="E43" s="3" t="n">
        <v>0.0688599846977811</v>
      </c>
      <c r="F43" s="3" t="n">
        <f aca="false">AVERAGEIFS($D$2:$D$66,$A$2:$A$66,A43,$C$2:$C$66,"control")</f>
        <v>0.0585897061750853</v>
      </c>
      <c r="G43" s="3" t="n">
        <f aca="false">LOG(D43/F43,2)</f>
        <v>0.427666076253519</v>
      </c>
      <c r="H43" s="0" t="s">
        <v>495</v>
      </c>
      <c r="I43" s="0" t="s">
        <v>496</v>
      </c>
    </row>
    <row r="44" customFormat="false" ht="15" hidden="false" customHeight="false" outlineLevel="0" collapsed="false">
      <c r="A44" s="0" t="s">
        <v>75</v>
      </c>
      <c r="B44" s="0" t="s">
        <v>480</v>
      </c>
      <c r="C44" s="0" t="s">
        <v>481</v>
      </c>
      <c r="D44" s="3" t="n">
        <v>0.0469613259668508</v>
      </c>
      <c r="E44" s="3" t="n">
        <v>0.0414364640883977</v>
      </c>
      <c r="F44" s="3" t="n">
        <f aca="false">AVERAGEIFS($D$2:$D$66,$A$2:$A$66,A44,$C$2:$C$66,"control")</f>
        <v>0.0585897061750853</v>
      </c>
      <c r="G44" s="3" t="n">
        <f aca="false">LOG(D44/F44,2)</f>
        <v>-0.319174070967132</v>
      </c>
      <c r="H44" s="0" t="s">
        <v>495</v>
      </c>
      <c r="I44" s="0" t="s">
        <v>496</v>
      </c>
    </row>
    <row r="45" customFormat="false" ht="15" hidden="false" customHeight="false" outlineLevel="0" collapsed="false">
      <c r="A45" s="0" t="s">
        <v>75</v>
      </c>
      <c r="B45" s="0" t="s">
        <v>482</v>
      </c>
      <c r="C45" s="0" t="s">
        <v>481</v>
      </c>
      <c r="D45" s="3" t="n">
        <v>0.0665742024965325</v>
      </c>
      <c r="E45" s="3" t="n">
        <v>0.0540915395284327</v>
      </c>
      <c r="F45" s="3" t="n">
        <f aca="false">AVERAGEIFS($D$2:$D$66,$A$2:$A$66,A45,$C$2:$C$66,"control")</f>
        <v>0.0585897061750853</v>
      </c>
      <c r="G45" s="3" t="n">
        <f aca="false">LOG(D45/F45,2)</f>
        <v>0.184316026346066</v>
      </c>
      <c r="H45" s="0" t="s">
        <v>495</v>
      </c>
      <c r="I45" s="0" t="s">
        <v>496</v>
      </c>
    </row>
    <row r="46" customFormat="false" ht="15" hidden="false" customHeight="false" outlineLevel="0" collapsed="false">
      <c r="A46" s="0" t="s">
        <v>75</v>
      </c>
      <c r="B46" s="0" t="s">
        <v>483</v>
      </c>
      <c r="C46" s="0" t="s">
        <v>481</v>
      </c>
      <c r="D46" s="3" t="n">
        <v>0.0784313725490196</v>
      </c>
      <c r="E46" s="3" t="n">
        <v>0.0633484162895927</v>
      </c>
      <c r="F46" s="3" t="n">
        <f aca="false">AVERAGEIFS($D$2:$D$66,$A$2:$A$66,A46,$C$2:$C$66,"control")</f>
        <v>0.0585897061750853</v>
      </c>
      <c r="G46" s="3" t="n">
        <f aca="false">LOG(D46/F46,2)</f>
        <v>0.420783632894239</v>
      </c>
      <c r="H46" s="0" t="s">
        <v>495</v>
      </c>
      <c r="I46" s="0" t="s">
        <v>496</v>
      </c>
    </row>
    <row r="47" customFormat="false" ht="15" hidden="false" customHeight="false" outlineLevel="0" collapsed="false">
      <c r="A47" s="0" t="s">
        <v>30</v>
      </c>
      <c r="B47" s="0" t="s">
        <v>473</v>
      </c>
      <c r="C47" s="0" t="s">
        <v>474</v>
      </c>
      <c r="D47" s="3" t="n">
        <v>0.225633154259401</v>
      </c>
      <c r="E47" s="3" t="n">
        <v>0.14735226400614</v>
      </c>
      <c r="F47" s="3" t="n">
        <f aca="false">AVERAGEIFS($D$2:$D$66,$A$2:$A$66,A47,$C$2:$C$66,"control")</f>
        <v>0.242502881643855</v>
      </c>
      <c r="G47" s="3" t="n">
        <f aca="false">LOG(D47/F47,2)</f>
        <v>-0.104022819684787</v>
      </c>
      <c r="H47" s="0" t="s">
        <v>495</v>
      </c>
      <c r="I47" s="0" t="s">
        <v>496</v>
      </c>
    </row>
    <row r="48" customFormat="false" ht="15" hidden="false" customHeight="false" outlineLevel="0" collapsed="false">
      <c r="A48" s="0" t="s">
        <v>30</v>
      </c>
      <c r="B48" s="0" t="s">
        <v>479</v>
      </c>
      <c r="C48" s="0" t="s">
        <v>474</v>
      </c>
      <c r="D48" s="3" t="n">
        <v>0.259372609028309</v>
      </c>
      <c r="E48" s="3" t="n">
        <v>0.179801071155318</v>
      </c>
      <c r="F48" s="3" t="n">
        <f aca="false">AVERAGEIFS($D$2:$D$66,$A$2:$A$66,A48,$C$2:$C$66,"control")</f>
        <v>0.242502881643855</v>
      </c>
      <c r="G48" s="3" t="n">
        <f aca="false">LOG(D48/F48,2)</f>
        <v>0.0970242413878941</v>
      </c>
      <c r="H48" s="0" t="s">
        <v>495</v>
      </c>
      <c r="I48" s="0" t="s">
        <v>496</v>
      </c>
    </row>
    <row r="49" customFormat="false" ht="15" hidden="false" customHeight="false" outlineLevel="0" collapsed="false">
      <c r="A49" s="0" t="s">
        <v>30</v>
      </c>
      <c r="B49" s="0" t="s">
        <v>480</v>
      </c>
      <c r="C49" s="0" t="s">
        <v>481</v>
      </c>
      <c r="D49" s="3" t="n">
        <v>0.151933701657459</v>
      </c>
      <c r="E49" s="3" t="n">
        <v>0.111878453038674</v>
      </c>
      <c r="F49" s="3" t="n">
        <f aca="false">AVERAGEIFS($D$2:$D$66,$A$2:$A$66,A49,$C$2:$C$66,"control")</f>
        <v>0.242502881643855</v>
      </c>
      <c r="G49" s="3" t="n">
        <f aca="false">LOG(D49/F49,2)</f>
        <v>-0.674559969511563</v>
      </c>
      <c r="H49" s="0" t="s">
        <v>495</v>
      </c>
      <c r="I49" s="0" t="s">
        <v>496</v>
      </c>
    </row>
    <row r="50" customFormat="false" ht="15" hidden="false" customHeight="false" outlineLevel="0" collapsed="false">
      <c r="A50" s="0" t="s">
        <v>30</v>
      </c>
      <c r="B50" s="0" t="s">
        <v>482</v>
      </c>
      <c r="C50" s="0" t="s">
        <v>481</v>
      </c>
      <c r="D50" s="3" t="n">
        <v>0.181692094313454</v>
      </c>
      <c r="E50" s="3" t="n">
        <v>0.124826629680999</v>
      </c>
      <c r="F50" s="3" t="n">
        <f aca="false">AVERAGEIFS($D$2:$D$66,$A$2:$A$66,A50,$C$2:$C$66,"control")</f>
        <v>0.242502881643855</v>
      </c>
      <c r="G50" s="3" t="n">
        <f aca="false">LOG(D50/F50,2)</f>
        <v>-0.416506243656389</v>
      </c>
      <c r="H50" s="0" t="s">
        <v>495</v>
      </c>
      <c r="I50" s="0" t="s">
        <v>496</v>
      </c>
    </row>
    <row r="51" customFormat="false" ht="15" hidden="false" customHeight="false" outlineLevel="0" collapsed="false">
      <c r="A51" s="0" t="s">
        <v>30</v>
      </c>
      <c r="B51" s="0" t="s">
        <v>483</v>
      </c>
      <c r="C51" s="0" t="s">
        <v>481</v>
      </c>
      <c r="D51" s="3" t="n">
        <v>0.268476621417798</v>
      </c>
      <c r="E51" s="3" t="n">
        <v>0.147812971342383</v>
      </c>
      <c r="F51" s="3" t="n">
        <f aca="false">AVERAGEIFS($D$2:$D$66,$A$2:$A$66,A51,$C$2:$C$66,"control")</f>
        <v>0.242502881643855</v>
      </c>
      <c r="G51" s="3" t="n">
        <f aca="false">LOG(D51/F51,2)</f>
        <v>0.146794574900793</v>
      </c>
      <c r="H51" s="0" t="s">
        <v>495</v>
      </c>
      <c r="I51" s="0" t="s">
        <v>496</v>
      </c>
    </row>
    <row r="52" customFormat="false" ht="15" hidden="false" customHeight="false" outlineLevel="0" collapsed="false">
      <c r="A52" s="0" t="s">
        <v>65</v>
      </c>
      <c r="B52" s="0" t="s">
        <v>473</v>
      </c>
      <c r="C52" s="0" t="s">
        <v>474</v>
      </c>
      <c r="D52" s="3" t="n">
        <v>0.0874904067536454</v>
      </c>
      <c r="E52" s="3" t="n">
        <v>0.0675364543361473</v>
      </c>
      <c r="F52" s="3" t="n">
        <f aca="false">AVERAGEIFS($D$2:$D$66,$A$2:$A$66,A52,$C$2:$C$66,"control")</f>
        <v>0.111457521662974</v>
      </c>
      <c r="G52" s="3" t="n">
        <f aca="false">LOG(D52/F52,2)</f>
        <v>-0.349297239054124</v>
      </c>
      <c r="H52" s="0" t="s">
        <v>495</v>
      </c>
      <c r="I52" s="0" t="s">
        <v>496</v>
      </c>
    </row>
    <row r="53" customFormat="false" ht="15" hidden="false" customHeight="false" outlineLevel="0" collapsed="false">
      <c r="A53" s="0" t="s">
        <v>65</v>
      </c>
      <c r="B53" s="0" t="s">
        <v>479</v>
      </c>
      <c r="C53" s="0" t="s">
        <v>474</v>
      </c>
      <c r="D53" s="3" t="n">
        <v>0.135424636572303</v>
      </c>
      <c r="E53" s="3" t="n">
        <v>0.106350420811018</v>
      </c>
      <c r="F53" s="3" t="n">
        <f aca="false">AVERAGEIFS($D$2:$D$66,$A$2:$A$66,A53,$C$2:$C$66,"control")</f>
        <v>0.111457521662974</v>
      </c>
      <c r="G53" s="3" t="n">
        <f aca="false">LOG(D53/F53,2)</f>
        <v>0.280996239636834</v>
      </c>
      <c r="H53" s="0" t="s">
        <v>495</v>
      </c>
      <c r="I53" s="0" t="s">
        <v>496</v>
      </c>
    </row>
    <row r="54" customFormat="false" ht="15" hidden="false" customHeight="false" outlineLevel="0" collapsed="false">
      <c r="A54" s="0" t="s">
        <v>65</v>
      </c>
      <c r="B54" s="0" t="s">
        <v>480</v>
      </c>
      <c r="C54" s="0" t="s">
        <v>481</v>
      </c>
      <c r="D54" s="3" t="n">
        <v>0.104972375690608</v>
      </c>
      <c r="E54" s="3" t="n">
        <v>0.080110497237569</v>
      </c>
      <c r="F54" s="3" t="n">
        <f aca="false">AVERAGEIFS($D$2:$D$66,$A$2:$A$66,A54,$C$2:$C$66,"control")</f>
        <v>0.111457521662974</v>
      </c>
      <c r="G54" s="3" t="n">
        <f aca="false">LOG(D54/F54,2)</f>
        <v>-0.0864842582903507</v>
      </c>
      <c r="H54" s="0" t="s">
        <v>495</v>
      </c>
      <c r="I54" s="0" t="s">
        <v>496</v>
      </c>
    </row>
    <row r="55" customFormat="false" ht="15" hidden="false" customHeight="false" outlineLevel="0" collapsed="false">
      <c r="A55" s="0" t="s">
        <v>65</v>
      </c>
      <c r="B55" s="0" t="s">
        <v>482</v>
      </c>
      <c r="C55" s="0" t="s">
        <v>481</v>
      </c>
      <c r="D55" s="3" t="n">
        <v>0.145631067961165</v>
      </c>
      <c r="E55" s="3" t="n">
        <v>0.104022191400832</v>
      </c>
      <c r="F55" s="3" t="n">
        <f aca="false">AVERAGEIFS($D$2:$D$66,$A$2:$A$66,A55,$C$2:$C$66,"control")</f>
        <v>0.111457521662974</v>
      </c>
      <c r="G55" s="3" t="n">
        <f aca="false">LOG(D55/F55,2)</f>
        <v>0.385824183774569</v>
      </c>
      <c r="H55" s="0" t="s">
        <v>495</v>
      </c>
      <c r="I55" s="0" t="s">
        <v>496</v>
      </c>
    </row>
    <row r="56" customFormat="false" ht="15" hidden="false" customHeight="false" outlineLevel="0" collapsed="false">
      <c r="A56" s="0" t="s">
        <v>65</v>
      </c>
      <c r="B56" s="0" t="s">
        <v>483</v>
      </c>
      <c r="C56" s="0" t="s">
        <v>481</v>
      </c>
      <c r="D56" s="3" t="n">
        <v>0.187028657616893</v>
      </c>
      <c r="E56" s="3" t="n">
        <v>0.128205128205128</v>
      </c>
      <c r="F56" s="3" t="n">
        <f aca="false">AVERAGEIFS($D$2:$D$66,$A$2:$A$66,A56,$C$2:$C$66,"control")</f>
        <v>0.111457521662974</v>
      </c>
      <c r="G56" s="3" t="n">
        <f aca="false">LOG(D56/F56,2)</f>
        <v>0.746765365623557</v>
      </c>
      <c r="H56" s="0" t="s">
        <v>495</v>
      </c>
      <c r="I56" s="0" t="s">
        <v>496</v>
      </c>
    </row>
    <row r="57" customFormat="false" ht="15" hidden="false" customHeight="false" outlineLevel="0" collapsed="false">
      <c r="A57" s="0" t="s">
        <v>53</v>
      </c>
      <c r="B57" s="0" t="s">
        <v>473</v>
      </c>
      <c r="C57" s="0" t="s">
        <v>474</v>
      </c>
      <c r="D57" s="3" t="n">
        <v>0.131235610130468</v>
      </c>
      <c r="E57" s="3" t="n">
        <v>0.099002302379125</v>
      </c>
      <c r="F57" s="3" t="n">
        <f aca="false">AVERAGEIFS($D$2:$D$66,$A$2:$A$66,A57,$C$2:$C$66,"control")</f>
        <v>0.143659121056053</v>
      </c>
      <c r="G57" s="3" t="n">
        <f aca="false">LOG(D57/F57,2)</f>
        <v>-0.130490352671858</v>
      </c>
      <c r="H57" s="0" t="s">
        <v>495</v>
      </c>
      <c r="I57" s="0" t="s">
        <v>496</v>
      </c>
    </row>
    <row r="58" customFormat="false" ht="15" hidden="false" customHeight="false" outlineLevel="0" collapsed="false">
      <c r="A58" s="0" t="s">
        <v>53</v>
      </c>
      <c r="B58" s="0" t="s">
        <v>479</v>
      </c>
      <c r="C58" s="0" t="s">
        <v>474</v>
      </c>
      <c r="D58" s="3" t="n">
        <v>0.156082631981637</v>
      </c>
      <c r="E58" s="3" t="n">
        <v>0.117827084927314</v>
      </c>
      <c r="F58" s="3" t="n">
        <f aca="false">AVERAGEIFS($D$2:$D$66,$A$2:$A$66,A58,$C$2:$C$66,"control")</f>
        <v>0.143659121056053</v>
      </c>
      <c r="G58" s="3" t="n">
        <f aca="false">LOG(D58/F58,2)</f>
        <v>0.119660417186441</v>
      </c>
      <c r="H58" s="0" t="s">
        <v>495</v>
      </c>
      <c r="I58" s="0" t="s">
        <v>496</v>
      </c>
    </row>
    <row r="59" customFormat="false" ht="15" hidden="false" customHeight="false" outlineLevel="0" collapsed="false">
      <c r="A59" s="0" t="s">
        <v>53</v>
      </c>
      <c r="B59" s="0" t="s">
        <v>480</v>
      </c>
      <c r="C59" s="0" t="s">
        <v>481</v>
      </c>
      <c r="D59" s="3" t="n">
        <v>0.102209944751381</v>
      </c>
      <c r="E59" s="3" t="n">
        <v>0.0828729281767955</v>
      </c>
      <c r="F59" s="3" t="n">
        <f aca="false">AVERAGEIFS($D$2:$D$66,$A$2:$A$66,A59,$C$2:$C$66,"control")</f>
        <v>0.143659121056053</v>
      </c>
      <c r="G59" s="3" t="n">
        <f aca="false">LOG(D59/F59,2)</f>
        <v>-0.491114020443876</v>
      </c>
      <c r="H59" s="0" t="s">
        <v>495</v>
      </c>
      <c r="I59" s="0" t="s">
        <v>496</v>
      </c>
    </row>
    <row r="60" customFormat="false" ht="15" hidden="false" customHeight="false" outlineLevel="0" collapsed="false">
      <c r="A60" s="0" t="s">
        <v>53</v>
      </c>
      <c r="B60" s="0" t="s">
        <v>482</v>
      </c>
      <c r="C60" s="0" t="s">
        <v>481</v>
      </c>
      <c r="D60" s="3" t="n">
        <v>0.11373092926491</v>
      </c>
      <c r="E60" s="3" t="n">
        <v>0.0832177531206657</v>
      </c>
      <c r="F60" s="3" t="n">
        <f aca="false">AVERAGEIFS($D$2:$D$66,$A$2:$A$66,A60,$C$2:$C$66,"control")</f>
        <v>0.143659121056053</v>
      </c>
      <c r="G60" s="3" t="n">
        <f aca="false">LOG(D60/F60,2)</f>
        <v>-0.33702494361236</v>
      </c>
      <c r="H60" s="0" t="s">
        <v>495</v>
      </c>
      <c r="I60" s="0" t="s">
        <v>496</v>
      </c>
    </row>
    <row r="61" customFormat="false" ht="15" hidden="false" customHeight="false" outlineLevel="0" collapsed="false">
      <c r="A61" s="0" t="s">
        <v>53</v>
      </c>
      <c r="B61" s="0" t="s">
        <v>483</v>
      </c>
      <c r="C61" s="0" t="s">
        <v>481</v>
      </c>
      <c r="D61" s="3" t="n">
        <v>0.147812971342383</v>
      </c>
      <c r="E61" s="3" t="n">
        <v>0.107088989441931</v>
      </c>
      <c r="F61" s="3" t="n">
        <f aca="false">AVERAGEIFS($D$2:$D$66,$A$2:$A$66,A61,$C$2:$C$66,"control")</f>
        <v>0.143659121056053</v>
      </c>
      <c r="G61" s="3" t="n">
        <f aca="false">LOG(D61/F61,2)</f>
        <v>0.0411232850129998</v>
      </c>
      <c r="H61" s="0" t="s">
        <v>495</v>
      </c>
      <c r="I61" s="0" t="s">
        <v>496</v>
      </c>
    </row>
    <row r="62" customFormat="false" ht="15" hidden="false" customHeight="false" outlineLevel="0" collapsed="false">
      <c r="A62" s="0" t="s">
        <v>27</v>
      </c>
      <c r="B62" s="0" t="s">
        <v>473</v>
      </c>
      <c r="C62" s="0" t="s">
        <v>474</v>
      </c>
      <c r="D62" s="3" t="n">
        <v>0.054489639293937</v>
      </c>
      <c r="E62" s="3" t="n">
        <v>0.0399079048349961</v>
      </c>
      <c r="F62" s="3" t="n">
        <f aca="false">AVERAGEIFS($D$2:$D$66,$A$2:$A$66,A62,$C$2:$C$66,"control")</f>
        <v>0.0662654776423778</v>
      </c>
      <c r="G62" s="3" t="n">
        <f aca="false">LOG(D62/F62,2)</f>
        <v>-0.28227552381336</v>
      </c>
      <c r="H62" s="0" t="s">
        <v>495</v>
      </c>
      <c r="I62" s="0" t="s">
        <v>496</v>
      </c>
    </row>
    <row r="63" customFormat="false" ht="15" hidden="false" customHeight="false" outlineLevel="0" collapsed="false">
      <c r="A63" s="0" t="s">
        <v>27</v>
      </c>
      <c r="B63" s="0" t="s">
        <v>479</v>
      </c>
      <c r="C63" s="0" t="s">
        <v>474</v>
      </c>
      <c r="D63" s="3" t="n">
        <v>0.0780413159908186</v>
      </c>
      <c r="E63" s="3" t="n">
        <v>0.0604437643458301</v>
      </c>
      <c r="F63" s="3" t="n">
        <f aca="false">AVERAGEIFS($D$2:$D$66,$A$2:$A$66,A63,$C$2:$C$66,"control")</f>
        <v>0.0662654776423778</v>
      </c>
      <c r="G63" s="3" t="n">
        <f aca="false">LOG(D63/F63,2)</f>
        <v>0.235980641426155</v>
      </c>
      <c r="H63" s="0" t="s">
        <v>495</v>
      </c>
      <c r="I63" s="0" t="s">
        <v>496</v>
      </c>
    </row>
    <row r="64" customFormat="false" ht="15" hidden="false" customHeight="false" outlineLevel="0" collapsed="false">
      <c r="A64" s="0" t="s">
        <v>27</v>
      </c>
      <c r="B64" s="0" t="s">
        <v>480</v>
      </c>
      <c r="C64" s="0" t="s">
        <v>481</v>
      </c>
      <c r="D64" s="3" t="n">
        <v>0.042817679558011</v>
      </c>
      <c r="E64" s="3" t="n">
        <v>0.037292817679558</v>
      </c>
      <c r="F64" s="3" t="n">
        <f aca="false">AVERAGEIFS($D$2:$D$66,$A$2:$A$66,A64,$C$2:$C$66,"control")</f>
        <v>0.0662654776423778</v>
      </c>
      <c r="G64" s="3" t="n">
        <f aca="false">LOG(D64/F64,2)</f>
        <v>-0.630050851446237</v>
      </c>
      <c r="H64" s="0" t="s">
        <v>495</v>
      </c>
      <c r="I64" s="0" t="s">
        <v>496</v>
      </c>
    </row>
    <row r="65" customFormat="false" ht="15" hidden="false" customHeight="false" outlineLevel="0" collapsed="false">
      <c r="A65" s="0" t="s">
        <v>27</v>
      </c>
      <c r="B65" s="0" t="s">
        <v>482</v>
      </c>
      <c r="C65" s="0" t="s">
        <v>481</v>
      </c>
      <c r="D65" s="3" t="n">
        <v>0.073509015256588</v>
      </c>
      <c r="E65" s="3" t="n">
        <v>0.0596393897364771</v>
      </c>
      <c r="F65" s="3" t="n">
        <f aca="false">AVERAGEIFS($D$2:$D$66,$A$2:$A$66,A65,$C$2:$C$66,"control")</f>
        <v>0.0662654776423778</v>
      </c>
      <c r="G65" s="3" t="n">
        <f aca="false">LOG(D65/F65,2)</f>
        <v>0.14966373057247</v>
      </c>
      <c r="H65" s="0" t="s">
        <v>495</v>
      </c>
      <c r="I65" s="0" t="s">
        <v>496</v>
      </c>
    </row>
    <row r="66" customFormat="false" ht="15" hidden="false" customHeight="false" outlineLevel="0" collapsed="false">
      <c r="A66" s="0" t="s">
        <v>27</v>
      </c>
      <c r="B66" s="0" t="s">
        <v>483</v>
      </c>
      <c r="C66" s="0" t="s">
        <v>481</v>
      </c>
      <c r="D66" s="3" t="n">
        <v>0.0950226244343891</v>
      </c>
      <c r="E66" s="3" t="n">
        <v>0.0633484162895927</v>
      </c>
      <c r="F66" s="3" t="n">
        <f aca="false">AVERAGEIFS($D$2:$D$66,$A$2:$A$66,A66,$C$2:$C$66,"control")</f>
        <v>0.0662654776423778</v>
      </c>
      <c r="G66" s="3" t="n">
        <f aca="false">LOG(D66/F66,2)</f>
        <v>0.520013588637423</v>
      </c>
      <c r="H66" s="0" t="s">
        <v>495</v>
      </c>
      <c r="I66" s="0" t="s">
        <v>496</v>
      </c>
    </row>
  </sheetData>
  <autoFilter ref="A1:I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2026-10-24T09:07:18Z</dcterms:created>
  <dc:creator>openpyxl</dc:creator>
  <dc:description/>
  <dc:language>en-US</dc:language>
  <cp:lastModifiedBy/>
  <dcterms:modified xsi:type="dcterms:W3CDTF">2026-10-24T10:22:15Z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